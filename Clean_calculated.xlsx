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Valentina\Downloads\"/>
    </mc:Choice>
  </mc:AlternateContent>
  <xr:revisionPtr revIDLastSave="0" documentId="13_ncr:1_{2F318036-F5D3-419E-9289-49FD6E9338F8}" xr6:coauthVersionLast="47" xr6:coauthVersionMax="47" xr10:uidLastSave="{00000000-0000-0000-0000-000000000000}"/>
  <bookViews>
    <workbookView xWindow="28680" yWindow="-120" windowWidth="29040" windowHeight="15990" firstSheet="6" activeTab="4" xr2:uid="{9ECDC6A3-1344-408E-BF0C-D5EEDDD6DE1D}"/>
  </bookViews>
  <sheets>
    <sheet name="Rawdata_Index " sheetId="1" r:id="rId1"/>
    <sheet name="Rawdata m2" sheetId="12" r:id="rId2"/>
    <sheet name="Index_analisys" sheetId="2" r:id="rId3"/>
    <sheet name="m_2analisys" sheetId="3" r:id="rId4"/>
    <sheet name="Лист2" sheetId="13" r:id="rId5"/>
    <sheet name="Rawdata_flat" sheetId="4" r:id="rId6"/>
    <sheet name="Contracts analisys" sheetId="5" r:id="rId7"/>
    <sheet name="Lun_price" sheetId="6" r:id="rId8"/>
    <sheet name="Raw data _m2region begin" sheetId="8" r:id="rId9"/>
    <sheet name="Raw data _m2region expl" sheetId="7" r:id="rId10"/>
    <sheet name="Rawdata _flat expl" sheetId="10" r:id="rId11"/>
    <sheet name="Rawdata _flat begin" sheetId="11" r:id="rId1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12" l="1"/>
  <c r="B2" i="3" s="1"/>
  <c r="B19" i="1"/>
  <c r="C19" i="1"/>
  <c r="D19" i="1"/>
  <c r="E19" i="1"/>
  <c r="F19" i="1"/>
  <c r="G19" i="1"/>
  <c r="H19" i="1"/>
  <c r="I19" i="1"/>
  <c r="J19" i="1"/>
  <c r="K19" i="1"/>
  <c r="L19" i="1"/>
  <c r="M19" i="1"/>
  <c r="N19" i="1"/>
  <c r="O19" i="1"/>
  <c r="P19" i="1"/>
  <c r="Q19" i="1"/>
  <c r="B9" i="3"/>
  <c r="C9" i="3"/>
  <c r="J2" i="3"/>
  <c r="J3" i="3"/>
  <c r="J4" i="3"/>
  <c r="J5" i="3"/>
  <c r="J6" i="3"/>
  <c r="J7" i="3"/>
  <c r="J8" i="3"/>
  <c r="I3" i="3"/>
  <c r="I4" i="3"/>
  <c r="I5" i="3"/>
  <c r="I6" i="3"/>
  <c r="I7" i="3"/>
  <c r="I8" i="3"/>
  <c r="I2" i="3"/>
  <c r="C2" i="3"/>
  <c r="C3" i="3"/>
  <c r="C4" i="3"/>
  <c r="C5" i="3"/>
  <c r="C6" i="3"/>
  <c r="C7" i="3"/>
  <c r="C8" i="3"/>
  <c r="B3" i="3"/>
  <c r="B4" i="3"/>
  <c r="B5" i="3"/>
  <c r="B6" i="3"/>
  <c r="B7" i="3"/>
  <c r="B8" i="3"/>
  <c r="C12" i="1"/>
  <c r="D12" i="1"/>
  <c r="E12" i="1"/>
  <c r="F12" i="1"/>
  <c r="G12" i="1"/>
  <c r="H12" i="1"/>
  <c r="I12" i="1"/>
  <c r="J12" i="1"/>
  <c r="K12" i="1"/>
  <c r="L12" i="1"/>
  <c r="M12" i="1"/>
  <c r="N12" i="1"/>
  <c r="O12" i="1"/>
  <c r="P12" i="1"/>
  <c r="Q12" i="1"/>
  <c r="C13" i="1"/>
  <c r="D13" i="1"/>
  <c r="E13" i="1"/>
  <c r="F13" i="1"/>
  <c r="G13" i="1"/>
  <c r="H13" i="1"/>
  <c r="I13" i="1"/>
  <c r="J13" i="1"/>
  <c r="K13" i="1"/>
  <c r="L13" i="1"/>
  <c r="M13" i="1"/>
  <c r="N13" i="1"/>
  <c r="O13" i="1"/>
  <c r="P13" i="1"/>
  <c r="Q13" i="1"/>
  <c r="C14" i="1"/>
  <c r="D14" i="1"/>
  <c r="E14" i="1"/>
  <c r="F14" i="1"/>
  <c r="G14" i="1"/>
  <c r="H14" i="1"/>
  <c r="I14" i="1"/>
  <c r="J14" i="1"/>
  <c r="K14" i="1"/>
  <c r="L14" i="1"/>
  <c r="M14" i="1"/>
  <c r="N14" i="1"/>
  <c r="O14" i="1"/>
  <c r="P14" i="1"/>
  <c r="Q14" i="1"/>
  <c r="C15" i="1"/>
  <c r="D15" i="1"/>
  <c r="E15" i="1"/>
  <c r="F15" i="1"/>
  <c r="G15" i="1"/>
  <c r="H15" i="1"/>
  <c r="I15" i="1"/>
  <c r="J15" i="1"/>
  <c r="K15" i="1"/>
  <c r="L15" i="1"/>
  <c r="M15" i="1"/>
  <c r="N15" i="1"/>
  <c r="O15" i="1"/>
  <c r="P15" i="1"/>
  <c r="Q15" i="1"/>
  <c r="C16" i="1"/>
  <c r="D16" i="1"/>
  <c r="E16" i="1"/>
  <c r="F16" i="1"/>
  <c r="G16" i="1"/>
  <c r="H16" i="1"/>
  <c r="I16" i="1"/>
  <c r="J16" i="1"/>
  <c r="K16" i="1"/>
  <c r="L16" i="1"/>
  <c r="M16" i="1"/>
  <c r="N16" i="1"/>
  <c r="O16" i="1"/>
  <c r="P16" i="1"/>
  <c r="Q16" i="1"/>
  <c r="C17" i="1"/>
  <c r="D17" i="1"/>
  <c r="E17" i="1"/>
  <c r="F17" i="1"/>
  <c r="G17" i="1"/>
  <c r="H17" i="1"/>
  <c r="I17" i="1"/>
  <c r="J17" i="1"/>
  <c r="K17" i="1"/>
  <c r="L17" i="1"/>
  <c r="M17" i="1"/>
  <c r="N17" i="1"/>
  <c r="O17" i="1"/>
  <c r="P17" i="1"/>
  <c r="Q17" i="1"/>
  <c r="C18" i="1"/>
  <c r="D18" i="1"/>
  <c r="E18" i="1"/>
  <c r="F18" i="1"/>
  <c r="G18" i="1"/>
  <c r="H18" i="1"/>
  <c r="I18" i="1"/>
  <c r="J18" i="1"/>
  <c r="K18" i="1"/>
  <c r="L18" i="1"/>
  <c r="M18" i="1"/>
  <c r="N18" i="1"/>
  <c r="O18" i="1"/>
  <c r="P18" i="1"/>
  <c r="Q18" i="1"/>
  <c r="B18" i="1"/>
  <c r="B12" i="1"/>
  <c r="B13" i="1"/>
  <c r="B14" i="1"/>
  <c r="B15" i="1"/>
  <c r="B16" i="1"/>
  <c r="B17" i="1"/>
  <c r="C2" i="2" l="1"/>
  <c r="O2" i="2"/>
  <c r="D29" i="2" s="1"/>
  <c r="D2" i="2"/>
  <c r="G2" i="2"/>
  <c r="K2" i="2"/>
  <c r="L2" i="2"/>
  <c r="F2" i="2"/>
  <c r="E2" i="2"/>
  <c r="H2" i="2"/>
  <c r="J2" i="2"/>
  <c r="I2" i="2"/>
  <c r="N2" i="2"/>
  <c r="C29" i="2" s="1"/>
  <c r="M2" i="2"/>
  <c r="B29" i="2" s="1"/>
  <c r="P2" i="2"/>
  <c r="E29" i="2" s="1"/>
  <c r="Q2" i="2"/>
  <c r="F29" i="2" s="1"/>
  <c r="B2" i="2"/>
</calcChain>
</file>

<file path=xl/sharedStrings.xml><?xml version="1.0" encoding="utf-8"?>
<sst xmlns="http://schemas.openxmlformats.org/spreadsheetml/2006/main" count="1823" uniqueCount="926">
  <si>
    <t xml:space="preserve">Продукти
харчування
</t>
  </si>
  <si>
    <t>Усього Будівлі</t>
  </si>
  <si>
    <t>Одяг і
взуття</t>
  </si>
  <si>
    <t>Комунальні платежі</t>
  </si>
  <si>
    <t>Предмети 
домашнього
 вжитку</t>
  </si>
  <si>
    <t>Охорона
здоров’я</t>
  </si>
  <si>
    <t>Транспорт</t>
  </si>
  <si>
    <t>Зв’язок</t>
  </si>
  <si>
    <t>Відпочинок
і культура</t>
  </si>
  <si>
    <t>Освіта</t>
  </si>
  <si>
    <t>Ресторани
та готел</t>
  </si>
  <si>
    <t>2018</t>
  </si>
  <si>
    <t>2019</t>
  </si>
  <si>
    <t>2020</t>
  </si>
  <si>
    <t>2021</t>
  </si>
  <si>
    <t>2022</t>
  </si>
  <si>
    <t>2023</t>
  </si>
  <si>
    <t>2024</t>
  </si>
  <si>
    <t>Індекс цін на житло Первинний ринок</t>
  </si>
  <si>
    <t>Індекс цін на житло Вторинний ринок</t>
  </si>
  <si>
    <t xml:space="preserve">Індекс споживчих цін загальний </t>
  </si>
  <si>
    <t>Житлові будинки</t>
  </si>
  <si>
    <t>Нежитлові будівлі</t>
  </si>
  <si>
    <t xml:space="preserve"> Будівлі</t>
  </si>
  <si>
    <t>Вторинний ринок  квартир</t>
  </si>
  <si>
    <t xml:space="preserve"> Первинний ринок  квартир</t>
  </si>
  <si>
    <r>
      <t>Загальна площа житлових будинків на початок будівництва</t>
    </r>
    <r>
      <rPr>
        <vertAlign val="superscript"/>
        <sz val="10"/>
        <color theme="1"/>
        <rFont val="Verdana"/>
        <family val="2"/>
        <charset val="204"/>
      </rPr>
      <t>2</t>
    </r>
    <r>
      <rPr>
        <sz val="10"/>
        <color theme="1"/>
        <rFont val="Verdana"/>
        <family val="2"/>
        <charset val="204"/>
      </rPr>
      <t>, тис. м</t>
    </r>
    <r>
      <rPr>
        <vertAlign val="superscript"/>
        <sz val="10"/>
        <color theme="1"/>
        <rFont val="Verdana"/>
        <family val="2"/>
        <charset val="204"/>
      </rPr>
      <t>2</t>
    </r>
    <r>
      <rPr>
        <sz val="10"/>
        <color theme="1"/>
        <rFont val="Verdana"/>
        <family val="2"/>
        <charset val="204"/>
      </rPr>
      <t xml:space="preserve"> </t>
    </r>
  </si>
  <si>
    <r>
      <t>Загальна площа нежитлових будівель на початок будівництва,тис. м</t>
    </r>
    <r>
      <rPr>
        <vertAlign val="superscript"/>
        <sz val="9"/>
        <color theme="1"/>
        <rFont val="Verdana"/>
        <family val="2"/>
        <charset val="204"/>
      </rPr>
      <t>2</t>
    </r>
    <r>
      <rPr>
        <sz val="9"/>
        <color theme="1"/>
        <rFont val="Verdana"/>
        <family val="2"/>
        <charset val="204"/>
      </rPr>
      <t/>
    </r>
  </si>
  <si>
    <r>
      <t>Загальна площа житлових будинків, прийнятих в експлуатацію, тис. м</t>
    </r>
    <r>
      <rPr>
        <vertAlign val="superscript"/>
        <sz val="9"/>
        <color theme="1"/>
        <rFont val="Verdana"/>
        <family val="2"/>
        <charset val="204"/>
      </rPr>
      <t>2</t>
    </r>
    <r>
      <rPr>
        <sz val="9"/>
        <color theme="1"/>
        <rFont val="Verdana"/>
        <family val="2"/>
        <charset val="204"/>
      </rPr>
      <t/>
    </r>
  </si>
  <si>
    <r>
      <t>Загальна площа нежитлових будівель, прийнятих в експлуатацію, тис. м</t>
    </r>
    <r>
      <rPr>
        <vertAlign val="superscript"/>
        <sz val="10"/>
        <color theme="1"/>
        <rFont val="Verdana"/>
        <family val="2"/>
        <charset val="204"/>
      </rPr>
      <t>2</t>
    </r>
    <r>
      <rPr>
        <sz val="10"/>
        <color theme="1"/>
        <rFont val="Verdana"/>
        <family val="2"/>
        <charset val="204"/>
      </rPr>
      <t xml:space="preserve"> </t>
    </r>
  </si>
  <si>
    <r>
      <t>Кількість квартир у житлових будинках, прийнятих в експлуатацію</t>
    </r>
    <r>
      <rPr>
        <sz val="10"/>
        <color theme="1"/>
        <rFont val="Verdana"/>
        <family val="2"/>
        <charset val="204"/>
      </rPr>
      <t>, одиниць</t>
    </r>
    <r>
      <rPr>
        <i/>
        <sz val="10"/>
        <color theme="1"/>
        <rFont val="Verdana"/>
        <family val="2"/>
        <charset val="204"/>
      </rPr>
      <t/>
    </r>
  </si>
  <si>
    <r>
      <t>Кількість квартир у житлових будинках на початок будівництва</t>
    </r>
    <r>
      <rPr>
        <sz val="10"/>
        <color theme="1"/>
        <rFont val="Verdana"/>
        <family val="2"/>
        <charset val="204"/>
      </rPr>
      <t>, одиниць</t>
    </r>
  </si>
  <si>
    <t>Рік</t>
  </si>
  <si>
    <t>Угоди (тис.)</t>
  </si>
  <si>
    <t>Коментар</t>
  </si>
  <si>
    <t>~350–400</t>
  </si>
  <si>
    <t>~360–410</t>
  </si>
  <si>
    <t>~370–420</t>
  </si>
  <si>
    <t>~360–400</t>
  </si>
  <si>
    <t>~250–300</t>
  </si>
  <si>
    <t>~220–270</t>
  </si>
  <si>
    <t>~280–330</t>
  </si>
  <si>
    <t>~320–370</t>
  </si>
  <si>
    <t>пік перед COVID</t>
  </si>
  <si>
    <t>~300–340</t>
  </si>
  <si>
    <t>~450–500</t>
  </si>
  <si>
    <t>пік ринку</t>
  </si>
  <si>
    <t>~150–180</t>
  </si>
  <si>
    <t>повномасштабна війна</t>
  </si>
  <si>
    <t>~170–230</t>
  </si>
  <si>
    <t>~452</t>
  </si>
  <si>
    <t>~366.7</t>
  </si>
  <si>
    <t>падіння -9.8%</t>
  </si>
  <si>
    <t>https://minfin.com.ua/ua/2026/04/18/172186266/</t>
  </si>
  <si>
    <t>https://minfin.com.ua/ua/2026/04/21/172369878/</t>
  </si>
  <si>
    <t>https://retailers.ua/news/menedjment/yak-pratsyuvav-rinok-neruhomosti-u-2025-rotsi-chi-zbilshilas-kilkist-ugod/</t>
  </si>
  <si>
    <t>https://epravda.com.ua/biznes/rinok-neruhomosti-ukrajini-2025-trendi-cini-ipoteka-ta-prognoz-na-2026-815522/</t>
  </si>
  <si>
    <t>https://oksagen.ua/uk/novosti/dynamika-rynku-neruhomosti-ukrayiny-na-pochatku-2025-roku/</t>
  </si>
  <si>
    <t>https://www.rbc.ua/rus/news/rinok-vtorinki-pidskochiv-15-rik-de-ukrayini-1772450631.html</t>
  </si>
  <si>
    <t>https://lun.ua/stat/sale/ukraine?srsltid=AfmBOoq3-JdSFvH56Z9quLG2HmLOpFAzwxr62S0y1BR2CrU_3vmcMCAW</t>
  </si>
  <si>
    <t>https://centraljust.gov.ua/news/info/notariat-u-tsifrah-pidsumki-2024-roku</t>
  </si>
  <si>
    <t>https://budport.com.ua/buildnews/28186-minyust-vidzvituvav-pro-kilkist-kvartir-i-budinkiv-prodanih-u-2023-roci</t>
  </si>
  <si>
    <t>https://fiu.gov.ua/assets/userfiles/books/6_sektor_ozinka_zvit.pdf</t>
  </si>
  <si>
    <t>COVID</t>
  </si>
  <si>
    <t xml:space="preserve">КІЛЬКІСТЬ УГОД НЕРУХОМОСТІ (2010–2025) по різним оцінкам та відомостям </t>
  </si>
  <si>
    <t xml:space="preserve">офіційно Мін’юст пік ринку </t>
  </si>
  <si>
    <t>Ціни на первинному ринку по містах (Україна)</t>
  </si>
  <si>
    <t>Регіон / місто</t>
  </si>
  <si>
    <t>Київ</t>
  </si>
  <si>
    <t>Одеса</t>
  </si>
  <si>
    <t>Львів</t>
  </si>
  <si>
    <t>Дніпро</t>
  </si>
  <si>
    <t>Івано-Франківськ</t>
  </si>
  <si>
    <t>Чернівці</t>
  </si>
  <si>
    <t>Полтава</t>
  </si>
  <si>
    <t>Хмельницький</t>
  </si>
  <si>
    <t>Черкаси</t>
  </si>
  <si>
    <t>Харків</t>
  </si>
  <si>
    <t>Суми</t>
  </si>
  <si>
    <t>Миколаїв</t>
  </si>
  <si>
    <t>Запоріжжя</t>
  </si>
  <si>
    <t>2025</t>
  </si>
  <si>
    <t>2018-2025</t>
  </si>
  <si>
    <t>2017-2025</t>
  </si>
  <si>
    <t xml:space="preserve">війна, девальвація гривні </t>
  </si>
  <si>
    <t>Показник</t>
  </si>
  <si>
    <t>Територіальний розріз</t>
  </si>
  <si>
    <t>Тип будівлі</t>
  </si>
  <si>
    <t>Тип місцевості</t>
  </si>
  <si>
    <t>Періодичність</t>
  </si>
  <si>
    <t>Одиниця виміру</t>
  </si>
  <si>
    <t>Масштабування</t>
  </si>
  <si>
    <t>Загальна площа житлових будинків, прийнятих в експлуатацію</t>
  </si>
  <si>
    <t>Дніпропетровська</t>
  </si>
  <si>
    <t>Загалом</t>
  </si>
  <si>
    <t>Квартальна</t>
  </si>
  <si>
    <t>Квадратний метр</t>
  </si>
  <si>
    <t>Одиниці</t>
  </si>
  <si>
    <t>283525</t>
  </si>
  <si>
    <t>414258</t>
  </si>
  <si>
    <t>258993</t>
  </si>
  <si>
    <t>374115</t>
  </si>
  <si>
    <t>181978</t>
  </si>
  <si>
    <t>235123</t>
  </si>
  <si>
    <t>304272</t>
  </si>
  <si>
    <t>286515</t>
  </si>
  <si>
    <t>Україна</t>
  </si>
  <si>
    <t>8689356</t>
  </si>
  <si>
    <t>11029327</t>
  </si>
  <si>
    <t>8451221</t>
  </si>
  <si>
    <t>11433790</t>
  </si>
  <si>
    <t>7110224</t>
  </si>
  <si>
    <t>7380752</t>
  </si>
  <si>
    <t>9758881</t>
  </si>
  <si>
    <t>9552933</t>
  </si>
  <si>
    <t>Вінницька</t>
  </si>
  <si>
    <t>223899</t>
  </si>
  <si>
    <t>287392</t>
  </si>
  <si>
    <t>321537</t>
  </si>
  <si>
    <t>365873</t>
  </si>
  <si>
    <t>404515</t>
  </si>
  <si>
    <t>658558</t>
  </si>
  <si>
    <t>546708</t>
  </si>
  <si>
    <t>520927</t>
  </si>
  <si>
    <t>Волинська</t>
  </si>
  <si>
    <t>371290</t>
  </si>
  <si>
    <t>437309</t>
  </si>
  <si>
    <t>355583</t>
  </si>
  <si>
    <t>341228</t>
  </si>
  <si>
    <t>274584</t>
  </si>
  <si>
    <t>316277</t>
  </si>
  <si>
    <t>443550</t>
  </si>
  <si>
    <t>429379</t>
  </si>
  <si>
    <t>Донецька</t>
  </si>
  <si>
    <t>40584</t>
  </si>
  <si>
    <t>63125</t>
  </si>
  <si>
    <t>47312</t>
  </si>
  <si>
    <t>47969</t>
  </si>
  <si>
    <t>3683</t>
  </si>
  <si>
    <t>5597</t>
  </si>
  <si>
    <t>26961</t>
  </si>
  <si>
    <t>31916</t>
  </si>
  <si>
    <t>Закарпатська</t>
  </si>
  <si>
    <t>428736</t>
  </si>
  <si>
    <t>506918</t>
  </si>
  <si>
    <t>390975</t>
  </si>
  <si>
    <t>416083</t>
  </si>
  <si>
    <t>309252</t>
  </si>
  <si>
    <t>364224</t>
  </si>
  <si>
    <t>483979</t>
  </si>
  <si>
    <t>496829</t>
  </si>
  <si>
    <t>Житомирська</t>
  </si>
  <si>
    <t>146281</t>
  </si>
  <si>
    <t>195730</t>
  </si>
  <si>
    <t>154201</t>
  </si>
  <si>
    <t>195896</t>
  </si>
  <si>
    <t>117651</t>
  </si>
  <si>
    <t>111886</t>
  </si>
  <si>
    <t>179370</t>
  </si>
  <si>
    <t>136802</t>
  </si>
  <si>
    <t>Запорізька</t>
  </si>
  <si>
    <t>68246</t>
  </si>
  <si>
    <t>90296</t>
  </si>
  <si>
    <t>52636</t>
  </si>
  <si>
    <t>61498</t>
  </si>
  <si>
    <t>19155</t>
  </si>
  <si>
    <t>21528</t>
  </si>
  <si>
    <t>42003</t>
  </si>
  <si>
    <t>36691</t>
  </si>
  <si>
    <t>1255854</t>
  </si>
  <si>
    <t>1113986</t>
  </si>
  <si>
    <t>864874</t>
  </si>
  <si>
    <t>1961648</t>
  </si>
  <si>
    <t>908081</t>
  </si>
  <si>
    <t>1013832</t>
  </si>
  <si>
    <t>1412122</t>
  </si>
  <si>
    <t>1190992</t>
  </si>
  <si>
    <t>Рівненська</t>
  </si>
  <si>
    <t>319285</t>
  </si>
  <si>
    <t>351811</t>
  </si>
  <si>
    <t>293057</t>
  </si>
  <si>
    <t>270753</t>
  </si>
  <si>
    <t>244185</t>
  </si>
  <si>
    <t>231914</t>
  </si>
  <si>
    <t>391424</t>
  </si>
  <si>
    <t>322454</t>
  </si>
  <si>
    <t>Чернігівська</t>
  </si>
  <si>
    <t>97853</t>
  </si>
  <si>
    <t>142890</t>
  </si>
  <si>
    <t>95625</t>
  </si>
  <si>
    <t>96260</t>
  </si>
  <si>
    <t>102999</t>
  </si>
  <si>
    <t>71346</t>
  </si>
  <si>
    <t>109747</t>
  </si>
  <si>
    <t>97093</t>
  </si>
  <si>
    <t>Одеська</t>
  </si>
  <si>
    <t>567842</t>
  </si>
  <si>
    <t>1087227</t>
  </si>
  <si>
    <t>525092</t>
  </si>
  <si>
    <t>1038857</t>
  </si>
  <si>
    <t>694306</t>
  </si>
  <si>
    <t>294506</t>
  </si>
  <si>
    <t>581221</t>
  </si>
  <si>
    <t>799656</t>
  </si>
  <si>
    <t>Івано-Франківська</t>
  </si>
  <si>
    <t>404164</t>
  </si>
  <si>
    <t>752903</t>
  </si>
  <si>
    <t>505602</t>
  </si>
  <si>
    <t>509176</t>
  </si>
  <si>
    <t>493298</t>
  </si>
  <si>
    <t>526064</t>
  </si>
  <si>
    <t>651543</t>
  </si>
  <si>
    <t>594766</t>
  </si>
  <si>
    <t>Сумська</t>
  </si>
  <si>
    <t>96886</t>
  </si>
  <si>
    <t>110415</t>
  </si>
  <si>
    <t>61605</t>
  </si>
  <si>
    <t>118847</t>
  </si>
  <si>
    <t>41960</t>
  </si>
  <si>
    <t>52319</t>
  </si>
  <si>
    <t>55476</t>
  </si>
  <si>
    <t>53364</t>
  </si>
  <si>
    <t>Хмельницька</t>
  </si>
  <si>
    <t>324952</t>
  </si>
  <si>
    <t>323579</t>
  </si>
  <si>
    <t>279532</t>
  </si>
  <si>
    <t>341643</t>
  </si>
  <si>
    <t>282660</t>
  </si>
  <si>
    <t>230638</t>
  </si>
  <si>
    <t>349789</t>
  </si>
  <si>
    <t>282274</t>
  </si>
  <si>
    <t>Черкаська</t>
  </si>
  <si>
    <t>131273</t>
  </si>
  <si>
    <t>172846</t>
  </si>
  <si>
    <t>111237</t>
  </si>
  <si>
    <t>175211</t>
  </si>
  <si>
    <t>93523</t>
  </si>
  <si>
    <t>166813</t>
  </si>
  <si>
    <t>154527</t>
  </si>
  <si>
    <t>178302</t>
  </si>
  <si>
    <t>Херсонська</t>
  </si>
  <si>
    <t>95067</t>
  </si>
  <si>
    <t>120983</t>
  </si>
  <si>
    <t>100264</t>
  </si>
  <si>
    <t>89413</t>
  </si>
  <si>
    <t>7562</t>
  </si>
  <si>
    <t>2217</t>
  </si>
  <si>
    <t>6181</t>
  </si>
  <si>
    <t>7069</t>
  </si>
  <si>
    <t>Харківська</t>
  </si>
  <si>
    <t>528854</t>
  </si>
  <si>
    <t>381592</t>
  </si>
  <si>
    <t>315131</t>
  </si>
  <si>
    <t>604271</t>
  </si>
  <si>
    <t>43045</t>
  </si>
  <si>
    <t>260642</t>
  </si>
  <si>
    <t>174902</t>
  </si>
  <si>
    <t>247757</t>
  </si>
  <si>
    <t>Чернівецька</t>
  </si>
  <si>
    <t>287520</t>
  </si>
  <si>
    <t>490224</t>
  </si>
  <si>
    <t>327269</t>
  </si>
  <si>
    <t>373665</t>
  </si>
  <si>
    <t>220658</t>
  </si>
  <si>
    <t>235798</t>
  </si>
  <si>
    <t>330467</t>
  </si>
  <si>
    <t>321270</t>
  </si>
  <si>
    <t>Київська</t>
  </si>
  <si>
    <t>1541015</t>
  </si>
  <si>
    <t>1861046</t>
  </si>
  <si>
    <t>1732765</t>
  </si>
  <si>
    <t>2041661</t>
  </si>
  <si>
    <t>1456997</t>
  </si>
  <si>
    <t>1387605</t>
  </si>
  <si>
    <t>1946039</t>
  </si>
  <si>
    <t>1992262</t>
  </si>
  <si>
    <t>Львівська</t>
  </si>
  <si>
    <t>897323</t>
  </si>
  <si>
    <t>1292196</t>
  </si>
  <si>
    <t>1015702</t>
  </si>
  <si>
    <t>1211489</t>
  </si>
  <si>
    <t>720552</t>
  </si>
  <si>
    <t>769494</t>
  </si>
  <si>
    <t>1062432</t>
  </si>
  <si>
    <t>1066909</t>
  </si>
  <si>
    <t>Полтавська</t>
  </si>
  <si>
    <t>202547</t>
  </si>
  <si>
    <t>216972</t>
  </si>
  <si>
    <t>197212</t>
  </si>
  <si>
    <t>159541</t>
  </si>
  <si>
    <t>235907</t>
  </si>
  <si>
    <t>141859</t>
  </si>
  <si>
    <t>170785</t>
  </si>
  <si>
    <t>126695</t>
  </si>
  <si>
    <t>Кіровоградська</t>
  </si>
  <si>
    <t>48028</t>
  </si>
  <si>
    <t>71399</t>
  </si>
  <si>
    <t>58202</t>
  </si>
  <si>
    <t>55746</t>
  </si>
  <si>
    <t>34347</t>
  </si>
  <si>
    <t>32427</t>
  </si>
  <si>
    <t>72012</t>
  </si>
  <si>
    <t>39205</t>
  </si>
  <si>
    <t>Тернопільська</t>
  </si>
  <si>
    <t>261055</t>
  </si>
  <si>
    <t>411297</t>
  </si>
  <si>
    <t>309388</t>
  </si>
  <si>
    <t>516717</t>
  </si>
  <si>
    <t>183136</t>
  </si>
  <si>
    <t>216607</t>
  </si>
  <si>
    <t>229704</t>
  </si>
  <si>
    <t>242778</t>
  </si>
  <si>
    <t>Миколаївська</t>
  </si>
  <si>
    <t>51302</t>
  </si>
  <si>
    <t>112013</t>
  </si>
  <si>
    <t>61897</t>
  </si>
  <si>
    <t>59586</t>
  </si>
  <si>
    <t>35484</t>
  </si>
  <si>
    <t>33478</t>
  </si>
  <si>
    <t>33667</t>
  </si>
  <si>
    <t>51028</t>
  </si>
  <si>
    <t>Кількість десяткових знаків</t>
  </si>
  <si>
    <t>Спеціальне значення даних</t>
  </si>
  <si>
    <t>Примітки набору даних</t>
  </si>
  <si>
    <t>Примітки часового ряду</t>
  </si>
  <si>
    <t>Примітки спостереження</t>
  </si>
  <si>
    <t>Загальна площа житлових будинків і нежитлових будівель на початок будівництва</t>
  </si>
  <si>
    <t>Нуль</t>
  </si>
  <si>
    <t>Конфіденційна статистична інформація</t>
  </si>
  <si>
    <t>З 01.01.2024 року назви щодо типів будівель наведено відповідно до Національного класифікатора будівель і споруд (наказ Мінекономіки України від 16.05.2023 № 3573), до 01.01.2024 року - Номенклатури продукції будівництва (наказ Держстату України від 29.12.2017 № 356 (із змінами)). З 2025 року дані за показниками у розрізі типів місцевості (сільська, міська) та щодо загальної площі житлових будинків, прийнятих в експлуатацію, у розрахунку на 1 тис. осіб населення не формуються. З 2026 року за показниками змінено розріз за видами будівель.</t>
  </si>
  <si>
    <t>1. Без урахування даних щодо житлових будинків та нежитлових будівель, показники за якими відсутні у Повідомленні про початок виконання будівельних робіт (Постанова КМУ від 13.04.2011 №466 (із змінами)); з 01.01.2024 року з урахуванням дач та садових будинків у житлових будинках. 2. Показники наведено наростаючим підсумком.</t>
  </si>
  <si>
    <t>171404</t>
  </si>
  <si>
    <t>206927</t>
  </si>
  <si>
    <t>90025</t>
  </si>
  <si>
    <t>179401</t>
  </si>
  <si>
    <t>425185</t>
  </si>
  <si>
    <t>103321</t>
  </si>
  <si>
    <t>164273</t>
  </si>
  <si>
    <t>195880</t>
  </si>
  <si>
    <t>Відомості відсутні.</t>
  </si>
  <si>
    <t>241486</t>
  </si>
  <si>
    <t>334018</t>
  </si>
  <si>
    <t>290413</t>
  </si>
  <si>
    <t>682186</t>
  </si>
  <si>
    <t>155722</t>
  </si>
  <si>
    <t>116080</t>
  </si>
  <si>
    <t>75795</t>
  </si>
  <si>
    <t>23867</t>
  </si>
  <si>
    <t>332720</t>
  </si>
  <si>
    <t>156010</t>
  </si>
  <si>
    <t>120348</t>
  </si>
  <si>
    <t>214744</t>
  </si>
  <si>
    <t>129969</t>
  </si>
  <si>
    <t>230614</t>
  </si>
  <si>
    <t>315159</t>
  </si>
  <si>
    <t>179491</t>
  </si>
  <si>
    <t>1. Дані наведено без урахування тимчасово окупованих російською федерацією територій та частини територій, на яких ведуться (велися) бойові дії. 2. Без урахування даних щодо житлових будинків та нежитлових будівель, показники за якими відсутні у Повідомленні про початок виконання будівельних робіт (Постанова КМУ від 13.04.2011 №466 (із змінами)); з 01.01.2024 року з урахуванням дач та садових будинків у житлових будинках. 3. Показники наведено наростаючим підсумком.</t>
  </si>
  <si>
    <t>Дані не оприлюднюються з метою виконання вимог Закону України "Про офіційну статистику" щодо забезпечення гарантій органів державної статистики щодо статистичної конфіденційності та/або відповідно до Закону України "Про захист інтересів суб’єктів подання звітності та інших документів у період дії воєнного стану або стану війни.</t>
  </si>
  <si>
    <t>4254</t>
  </si>
  <si>
    <t>26297</t>
  </si>
  <si>
    <t>47811</t>
  </si>
  <si>
    <t>794</t>
  </si>
  <si>
    <t>146891</t>
  </si>
  <si>
    <t>167768</t>
  </si>
  <si>
    <t>146447</t>
  </si>
  <si>
    <t>210655</t>
  </si>
  <si>
    <t>142749</t>
  </si>
  <si>
    <t>256032</t>
  </si>
  <si>
    <t>370187</t>
  </si>
  <si>
    <t>466318</t>
  </si>
  <si>
    <t>84439</t>
  </si>
  <si>
    <t>64476</t>
  </si>
  <si>
    <t>47682</t>
  </si>
  <si>
    <t>113938</t>
  </si>
  <si>
    <t>70020</t>
  </si>
  <si>
    <t>66274</t>
  </si>
  <si>
    <t>139452</t>
  </si>
  <si>
    <t>63081</t>
  </si>
  <si>
    <t>12873616</t>
  </si>
  <si>
    <t>14700707</t>
  </si>
  <si>
    <t>7514310</t>
  </si>
  <si>
    <t>12714908</t>
  </si>
  <si>
    <t>6668984</t>
  </si>
  <si>
    <t>4205318</t>
  </si>
  <si>
    <t>3903400</t>
  </si>
  <si>
    <t>5829884</t>
  </si>
  <si>
    <t>416689</t>
  </si>
  <si>
    <t>748748</t>
  </si>
  <si>
    <t>461123</t>
  </si>
  <si>
    <t>244551</t>
  </si>
  <si>
    <t>204427</t>
  </si>
  <si>
    <t>469035</t>
  </si>
  <si>
    <t>342609</t>
  </si>
  <si>
    <t>523068</t>
  </si>
  <si>
    <t>1544541</t>
  </si>
  <si>
    <t>1269707</t>
  </si>
  <si>
    <t>656534</t>
  </si>
  <si>
    <t>1159377</t>
  </si>
  <si>
    <t>265317</t>
  </si>
  <si>
    <t>120436</t>
  </si>
  <si>
    <t>74350</t>
  </si>
  <si>
    <t>24689</t>
  </si>
  <si>
    <t>Явищ не було</t>
  </si>
  <si>
    <t>37367</t>
  </si>
  <si>
    <t>3066</t>
  </si>
  <si>
    <t>31437</t>
  </si>
  <si>
    <t>2559</t>
  </si>
  <si>
    <t>2406</t>
  </si>
  <si>
    <t>5028</t>
  </si>
  <si>
    <t>18335</t>
  </si>
  <si>
    <t>72296</t>
  </si>
  <si>
    <t>75530</t>
  </si>
  <si>
    <t>63512</t>
  </si>
  <si>
    <t>1666</t>
  </si>
  <si>
    <t>1223896</t>
  </si>
  <si>
    <t>1353221</t>
  </si>
  <si>
    <t>946056</t>
  </si>
  <si>
    <t>1108730</t>
  </si>
  <si>
    <t>1012973</t>
  </si>
  <si>
    <t>870373</t>
  </si>
  <si>
    <t>793210</t>
  </si>
  <si>
    <t>1165802</t>
  </si>
  <si>
    <t>2558873</t>
  </si>
  <si>
    <t>1883804</t>
  </si>
  <si>
    <t>1820588</t>
  </si>
  <si>
    <t>2787073</t>
  </si>
  <si>
    <t>1867707</t>
  </si>
  <si>
    <t>616164</t>
  </si>
  <si>
    <t>636308</t>
  </si>
  <si>
    <t>1317062</t>
  </si>
  <si>
    <t>183598</t>
  </si>
  <si>
    <t>182425</t>
  </si>
  <si>
    <t>109422</t>
  </si>
  <si>
    <t>163482</t>
  </si>
  <si>
    <t>72556</t>
  </si>
  <si>
    <t>57036</t>
  </si>
  <si>
    <t>77694</t>
  </si>
  <si>
    <t>165898</t>
  </si>
  <si>
    <t>108177</t>
  </si>
  <si>
    <t>81780</t>
  </si>
  <si>
    <t>164987</t>
  </si>
  <si>
    <t>171867</t>
  </si>
  <si>
    <t>194086</t>
  </si>
  <si>
    <t>62684</t>
  </si>
  <si>
    <t>97002</t>
  </si>
  <si>
    <t>173523</t>
  </si>
  <si>
    <t>92305</t>
  </si>
  <si>
    <t>27928</t>
  </si>
  <si>
    <t>41734</t>
  </si>
  <si>
    <t>192995</t>
  </si>
  <si>
    <t>68814</t>
  </si>
  <si>
    <t>31914</t>
  </si>
  <si>
    <t>62776</t>
  </si>
  <si>
    <t>57482</t>
  </si>
  <si>
    <t>70254</t>
  </si>
  <si>
    <t>10729</t>
  </si>
  <si>
    <t>22030</t>
  </si>
  <si>
    <t>113791</t>
  </si>
  <si>
    <t>219966</t>
  </si>
  <si>
    <t>131207</t>
  </si>
  <si>
    <t>251884</t>
  </si>
  <si>
    <t>60036</t>
  </si>
  <si>
    <t>225409</t>
  </si>
  <si>
    <t>84225</t>
  </si>
  <si>
    <t>145280</t>
  </si>
  <si>
    <t>617589</t>
  </si>
  <si>
    <t>627400</t>
  </si>
  <si>
    <t>181909</t>
  </si>
  <si>
    <t>702232</t>
  </si>
  <si>
    <t>214382</t>
  </si>
  <si>
    <t>131144</t>
  </si>
  <si>
    <t>102030</t>
  </si>
  <si>
    <t>46352</t>
  </si>
  <si>
    <t>34185</t>
  </si>
  <si>
    <t>99821</t>
  </si>
  <si>
    <t>61798</t>
  </si>
  <si>
    <t>3999872</t>
  </si>
  <si>
    <t>6407101</t>
  </si>
  <si>
    <t>1390040</t>
  </si>
  <si>
    <t>2979697</t>
  </si>
  <si>
    <t>878311</t>
  </si>
  <si>
    <t>299442</t>
  </si>
  <si>
    <t>335612</t>
  </si>
  <si>
    <t>709444</t>
  </si>
  <si>
    <t>105718</t>
  </si>
  <si>
    <t>201888</t>
  </si>
  <si>
    <t>170290</t>
  </si>
  <si>
    <t>158156</t>
  </si>
  <si>
    <t>101515</t>
  </si>
  <si>
    <t>6556</t>
  </si>
  <si>
    <t>383768</t>
  </si>
  <si>
    <t>214049</t>
  </si>
  <si>
    <t>152273</t>
  </si>
  <si>
    <t>323261</t>
  </si>
  <si>
    <t>258797</t>
  </si>
  <si>
    <t>109995</t>
  </si>
  <si>
    <t>63555</t>
  </si>
  <si>
    <t>232956</t>
  </si>
  <si>
    <t>131213</t>
  </si>
  <si>
    <t>97848</t>
  </si>
  <si>
    <t>70632</t>
  </si>
  <si>
    <t>200874</t>
  </si>
  <si>
    <t>138791</t>
  </si>
  <si>
    <t>110934</t>
  </si>
  <si>
    <t>125567</t>
  </si>
  <si>
    <t>96896</t>
  </si>
  <si>
    <t>220923</t>
  </si>
  <si>
    <t>257659</t>
  </si>
  <si>
    <t>323213</t>
  </si>
  <si>
    <t>553797</t>
  </si>
  <si>
    <t>330875</t>
  </si>
  <si>
    <t>313144</t>
  </si>
  <si>
    <t>184756</t>
  </si>
  <si>
    <t>210828</t>
  </si>
  <si>
    <t>Кількість квартир у житлових будинках, прийнятих в експлуатацію</t>
  </si>
  <si>
    <t>Житлові будинки без житлових будинків для колективного проживання</t>
  </si>
  <si>
    <t>Одиниця</t>
  </si>
  <si>
    <t>1. Дані наведено без урахування тимчасово окупованих російською федерацією територій та частини територій, на яких ведуться (велися) бойові дії. 2. З урахуванням прийнятих в експлуатацію житлових будинків відповідно до встановленого Порядку (наказ Мінрегіону від 03.07.2018 № 158 (зі змінами)); з 01.01.2024 з урахуванням дач та садових будинків. 3. Показники наведено наростаючим підсумком.</t>
  </si>
  <si>
    <t>103141</t>
  </si>
  <si>
    <t>125986</t>
  </si>
  <si>
    <t>96504</t>
  </si>
  <si>
    <t>151720</t>
  </si>
  <si>
    <t>92593</t>
  </si>
  <si>
    <t>89255</t>
  </si>
  <si>
    <t>118452</t>
  </si>
  <si>
    <t>117578</t>
  </si>
  <si>
    <t>1. З урахуванням прийнятих в експлуатацію житлових будинків відповідно до встановленого Порядку (наказ Мінрегіону від 03.07.2018 № 158 (зі змінами)); з 01.01.2024 з урахуванням дач та садових будинків. 2. Показники наведено наростаючим підсумком.</t>
  </si>
  <si>
    <t>3811</t>
  </si>
  <si>
    <t>4106</t>
  </si>
  <si>
    <t>3532</t>
  </si>
  <si>
    <t>3473</t>
  </si>
  <si>
    <t>3188</t>
  </si>
  <si>
    <t>3496</t>
  </si>
  <si>
    <t>5061</t>
  </si>
  <si>
    <t>4588</t>
  </si>
  <si>
    <t>431</t>
  </si>
  <si>
    <t>1127</t>
  </si>
  <si>
    <t>594</t>
  </si>
  <si>
    <t>629</t>
  </si>
  <si>
    <t>379</t>
  </si>
  <si>
    <t>271</t>
  </si>
  <si>
    <t>264</t>
  </si>
  <si>
    <t>556</t>
  </si>
  <si>
    <t>2475</t>
  </si>
  <si>
    <t>3165</t>
  </si>
  <si>
    <t>3868</t>
  </si>
  <si>
    <t>4622</t>
  </si>
  <si>
    <t>5710</t>
  </si>
  <si>
    <t>10313</t>
  </si>
  <si>
    <t>8001</t>
  </si>
  <si>
    <t>7142</t>
  </si>
  <si>
    <t>5</t>
  </si>
  <si>
    <t>9637</t>
  </si>
  <si>
    <t>14110</t>
  </si>
  <si>
    <t>10873</t>
  </si>
  <si>
    <t>14689</t>
  </si>
  <si>
    <t>8689</t>
  </si>
  <si>
    <t>8635</t>
  </si>
  <si>
    <t>12627</t>
  </si>
  <si>
    <t>12594</t>
  </si>
  <si>
    <t>398</t>
  </si>
  <si>
    <t>608</t>
  </si>
  <si>
    <t>617</t>
  </si>
  <si>
    <t>521</t>
  </si>
  <si>
    <t>287</t>
  </si>
  <si>
    <t>237</t>
  </si>
  <si>
    <t>938</t>
  </si>
  <si>
    <t>335</t>
  </si>
  <si>
    <t>19108</t>
  </si>
  <si>
    <t>22639</t>
  </si>
  <si>
    <t>22032</t>
  </si>
  <si>
    <t>26284</t>
  </si>
  <si>
    <t>19686</t>
  </si>
  <si>
    <t>15903</t>
  </si>
  <si>
    <t>21108</t>
  </si>
  <si>
    <t>22593</t>
  </si>
  <si>
    <t>1332</t>
  </si>
  <si>
    <t>1817</t>
  </si>
  <si>
    <t>1523</t>
  </si>
  <si>
    <t>2367</t>
  </si>
  <si>
    <t>1416</t>
  </si>
  <si>
    <t>1129</t>
  </si>
  <si>
    <t>2073</t>
  </si>
  <si>
    <t>1220</t>
  </si>
  <si>
    <t>8569</t>
  </si>
  <si>
    <t>16819</t>
  </si>
  <si>
    <t>7251</t>
  </si>
  <si>
    <t>17350</t>
  </si>
  <si>
    <t>11289</t>
  </si>
  <si>
    <t>3608</t>
  </si>
  <si>
    <t>7950</t>
  </si>
  <si>
    <t>12993</t>
  </si>
  <si>
    <t>328</t>
  </si>
  <si>
    <t>485</t>
  </si>
  <si>
    <t>360</t>
  </si>
  <si>
    <t>447</t>
  </si>
  <si>
    <t>41</t>
  </si>
  <si>
    <t>43</t>
  </si>
  <si>
    <t>178</t>
  </si>
  <si>
    <t>211</t>
  </si>
  <si>
    <t>2774</t>
  </si>
  <si>
    <t>3264</t>
  </si>
  <si>
    <t>2841</t>
  </si>
  <si>
    <t>3446</t>
  </si>
  <si>
    <t>2717</t>
  </si>
  <si>
    <t>3146</t>
  </si>
  <si>
    <t>3867</t>
  </si>
  <si>
    <t>5550</t>
  </si>
  <si>
    <t>564</t>
  </si>
  <si>
    <t>615</t>
  </si>
  <si>
    <t>567</t>
  </si>
  <si>
    <t>596</t>
  </si>
  <si>
    <t>184</t>
  </si>
  <si>
    <t>215</t>
  </si>
  <si>
    <t>509</t>
  </si>
  <si>
    <t>333</t>
  </si>
  <si>
    <t>3115</t>
  </si>
  <si>
    <t>7616</t>
  </si>
  <si>
    <t>4765</t>
  </si>
  <si>
    <t>6032</t>
  </si>
  <si>
    <t>5849</t>
  </si>
  <si>
    <t>5642</t>
  </si>
  <si>
    <t>7740</t>
  </si>
  <si>
    <t>6863</t>
  </si>
  <si>
    <t>3111</t>
  </si>
  <si>
    <t>4505</t>
  </si>
  <si>
    <t>2694</t>
  </si>
  <si>
    <t>4811</t>
  </si>
  <si>
    <t>2276</t>
  </si>
  <si>
    <t>2943</t>
  </si>
  <si>
    <t>3464</t>
  </si>
  <si>
    <t>3304</t>
  </si>
  <si>
    <t>4173</t>
  </si>
  <si>
    <t>3659</t>
  </si>
  <si>
    <t>3227</t>
  </si>
  <si>
    <t>4357</t>
  </si>
  <si>
    <t>3968</t>
  </si>
  <si>
    <t>2612</t>
  </si>
  <si>
    <t>4571</t>
  </si>
  <si>
    <t>3553</t>
  </si>
  <si>
    <t>1165</t>
  </si>
  <si>
    <t>1304</t>
  </si>
  <si>
    <t>635</t>
  </si>
  <si>
    <t>1720</t>
  </si>
  <si>
    <t>527</t>
  </si>
  <si>
    <t>595</t>
  </si>
  <si>
    <t>569</t>
  </si>
  <si>
    <t>486</t>
  </si>
  <si>
    <t>1468</t>
  </si>
  <si>
    <t>1082</t>
  </si>
  <si>
    <t>2314</t>
  </si>
  <si>
    <t>1104</t>
  </si>
  <si>
    <t>2362</t>
  </si>
  <si>
    <t>2030</t>
  </si>
  <si>
    <t>2245</t>
  </si>
  <si>
    <t>849</t>
  </si>
  <si>
    <t>869</t>
  </si>
  <si>
    <t>795</t>
  </si>
  <si>
    <t>812</t>
  </si>
  <si>
    <t>59</t>
  </si>
  <si>
    <t>15</t>
  </si>
  <si>
    <t>47</t>
  </si>
  <si>
    <t>61</t>
  </si>
  <si>
    <t>1163</t>
  </si>
  <si>
    <t>1644</t>
  </si>
  <si>
    <t>1176</t>
  </si>
  <si>
    <t>1392</t>
  </si>
  <si>
    <t>1414</t>
  </si>
  <si>
    <t>936</t>
  </si>
  <si>
    <t>1465</t>
  </si>
  <si>
    <t>1178</t>
  </si>
  <si>
    <t>3012</t>
  </si>
  <si>
    <t>3230</t>
  </si>
  <si>
    <t>2795</t>
  </si>
  <si>
    <t>2952</t>
  </si>
  <si>
    <t>2688</t>
  </si>
  <si>
    <t>2457</t>
  </si>
  <si>
    <t>4735</t>
  </si>
  <si>
    <t>3503</t>
  </si>
  <si>
    <t>2588</t>
  </si>
  <si>
    <t>3187</t>
  </si>
  <si>
    <t>6621</t>
  </si>
  <si>
    <t>1718</t>
  </si>
  <si>
    <t>2400</t>
  </si>
  <si>
    <t>2378</t>
  </si>
  <si>
    <t>2664</t>
  </si>
  <si>
    <t>2534</t>
  </si>
  <si>
    <t>2480</t>
  </si>
  <si>
    <t>2541</t>
  </si>
  <si>
    <t>1830</t>
  </si>
  <si>
    <t>2971</t>
  </si>
  <si>
    <t>1659</t>
  </si>
  <si>
    <t>2109</t>
  </si>
  <si>
    <t>1378</t>
  </si>
  <si>
    <t>2105</t>
  </si>
  <si>
    <t>3848</t>
  </si>
  <si>
    <t>2773</t>
  </si>
  <si>
    <t>3170</t>
  </si>
  <si>
    <t>1995</t>
  </si>
  <si>
    <t>1889</t>
  </si>
  <si>
    <t>3242</t>
  </si>
  <si>
    <t>2775</t>
  </si>
  <si>
    <t>19902</t>
  </si>
  <si>
    <t>17353</t>
  </si>
  <si>
    <t>11886</t>
  </si>
  <si>
    <t>31584</t>
  </si>
  <si>
    <t>13998</t>
  </si>
  <si>
    <t>14614</t>
  </si>
  <si>
    <t>22082</t>
  </si>
  <si>
    <t>18318</t>
  </si>
  <si>
    <t>8392</t>
  </si>
  <si>
    <t>4912</t>
  </si>
  <si>
    <t>4804</t>
  </si>
  <si>
    <t>9614</t>
  </si>
  <si>
    <t>435</t>
  </si>
  <si>
    <t>4135</t>
  </si>
  <si>
    <t>1444</t>
  </si>
  <si>
    <t>3135</t>
  </si>
  <si>
    <t>Кількість квартир у житлових будинках на початок будівництва</t>
  </si>
  <si>
    <t>1. З 01.01.2024 року з урахуванням дач та садових будинків. 2. Показники наведено наростаючим підсумком.</t>
  </si>
  <si>
    <t>1745</t>
  </si>
  <si>
    <t>1526</t>
  </si>
  <si>
    <t>969</t>
  </si>
  <si>
    <t>1963</t>
  </si>
  <si>
    <t>1258</t>
  </si>
  <si>
    <t>1356</t>
  </si>
  <si>
    <t>2146</t>
  </si>
  <si>
    <t>1546</t>
  </si>
  <si>
    <t>2760</t>
  </si>
  <si>
    <t>2603</t>
  </si>
  <si>
    <t>1905</t>
  </si>
  <si>
    <t>3256</t>
  </si>
  <si>
    <t>1007</t>
  </si>
  <si>
    <t>991</t>
  </si>
  <si>
    <t>1200</t>
  </si>
  <si>
    <t>2397</t>
  </si>
  <si>
    <t>751</t>
  </si>
  <si>
    <t>316</t>
  </si>
  <si>
    <t>295</t>
  </si>
  <si>
    <t>699</t>
  </si>
  <si>
    <t>150</t>
  </si>
  <si>
    <t>210</t>
  </si>
  <si>
    <t>232</t>
  </si>
  <si>
    <t>374</t>
  </si>
  <si>
    <t>2920</t>
  </si>
  <si>
    <t>3931</t>
  </si>
  <si>
    <t>4116</t>
  </si>
  <si>
    <t>8427</t>
  </si>
  <si>
    <t>1937</t>
  </si>
  <si>
    <t>2079</t>
  </si>
  <si>
    <t>1318</t>
  </si>
  <si>
    <t>917</t>
  </si>
  <si>
    <t>39613</t>
  </si>
  <si>
    <t>28622</t>
  </si>
  <si>
    <t>28508</t>
  </si>
  <si>
    <t>40774</t>
  </si>
  <si>
    <t>28864</t>
  </si>
  <si>
    <t>12590</t>
  </si>
  <si>
    <t>15786</t>
  </si>
  <si>
    <t>24939</t>
  </si>
  <si>
    <t>3746</t>
  </si>
  <si>
    <t>2396</t>
  </si>
  <si>
    <t>2997</t>
  </si>
  <si>
    <t>4218</t>
  </si>
  <si>
    <t>2327</t>
  </si>
  <si>
    <t>4070</t>
  </si>
  <si>
    <t>5117</t>
  </si>
  <si>
    <t>6371</t>
  </si>
  <si>
    <t>1. Дані наведено без урахування тимчасово окупованих російською федерацією територій та частини територій, на яких ведуться (велися) бойові дії. 2. З 01.01.2024 року з урахуванням дач та садових будинків. 3. Показники наведено наростаючим підсумком.</t>
  </si>
  <si>
    <t>166991</t>
  </si>
  <si>
    <t>188964</t>
  </si>
  <si>
    <t>112109</t>
  </si>
  <si>
    <t>170754</t>
  </si>
  <si>
    <t>98386</t>
  </si>
  <si>
    <t>66831</t>
  </si>
  <si>
    <t>69294</t>
  </si>
  <si>
    <t>97078</t>
  </si>
  <si>
    <t>6744</t>
  </si>
  <si>
    <t>9899</t>
  </si>
  <si>
    <t>5829</t>
  </si>
  <si>
    <t>4056</t>
  </si>
  <si>
    <t>3263</t>
  </si>
  <si>
    <t>6928</t>
  </si>
  <si>
    <t>6129</t>
  </si>
  <si>
    <t>8139</t>
  </si>
  <si>
    <t>1315</t>
  </si>
  <si>
    <t>530</t>
  </si>
  <si>
    <t>666</t>
  </si>
  <si>
    <t>2331</t>
  </si>
  <si>
    <t>852</t>
  </si>
  <si>
    <t>113</t>
  </si>
  <si>
    <t>89</t>
  </si>
  <si>
    <t>78</t>
  </si>
  <si>
    <t>745</t>
  </si>
  <si>
    <t>984</t>
  </si>
  <si>
    <t>960</t>
  </si>
  <si>
    <t>1185</t>
  </si>
  <si>
    <t>29</t>
  </si>
  <si>
    <t>3236</t>
  </si>
  <si>
    <t>3367</t>
  </si>
  <si>
    <t>4220</t>
  </si>
  <si>
    <t>6870</t>
  </si>
  <si>
    <t>4607</t>
  </si>
  <si>
    <t>4524</t>
  </si>
  <si>
    <t>3071</t>
  </si>
  <si>
    <t>3484</t>
  </si>
  <si>
    <t>442</t>
  </si>
  <si>
    <t>840</t>
  </si>
  <si>
    <t>958</t>
  </si>
  <si>
    <t>899</t>
  </si>
  <si>
    <t>31</t>
  </si>
  <si>
    <t>106</t>
  </si>
  <si>
    <t>110</t>
  </si>
  <si>
    <t>606</t>
  </si>
  <si>
    <t>4234</t>
  </si>
  <si>
    <t>4501</t>
  </si>
  <si>
    <t>2959</t>
  </si>
  <si>
    <t>4211</t>
  </si>
  <si>
    <t>6194</t>
  </si>
  <si>
    <t>2927</t>
  </si>
  <si>
    <t>3597</t>
  </si>
  <si>
    <t>4994</t>
  </si>
  <si>
    <t>5096</t>
  </si>
  <si>
    <t>2936</t>
  </si>
  <si>
    <t>2485</t>
  </si>
  <si>
    <t>3133</t>
  </si>
  <si>
    <t>2389</t>
  </si>
  <si>
    <t>3749</t>
  </si>
  <si>
    <t>5688</t>
  </si>
  <si>
    <t>4519</t>
  </si>
  <si>
    <t>298</t>
  </si>
  <si>
    <t>332</t>
  </si>
  <si>
    <t>367</t>
  </si>
  <si>
    <t>643</t>
  </si>
  <si>
    <t>21</t>
  </si>
  <si>
    <t>19</t>
  </si>
  <si>
    <t>7633</t>
  </si>
  <si>
    <t>9397</t>
  </si>
  <si>
    <t>1912</t>
  </si>
  <si>
    <t>7721</t>
  </si>
  <si>
    <t>2244</t>
  </si>
  <si>
    <t>2088</t>
  </si>
  <si>
    <t>388</t>
  </si>
  <si>
    <t>3306</t>
  </si>
  <si>
    <t>2547</t>
  </si>
  <si>
    <t>3293</t>
  </si>
  <si>
    <t>4260</t>
  </si>
  <si>
    <t>2114</t>
  </si>
  <si>
    <t>3569</t>
  </si>
  <si>
    <t>4860</t>
  </si>
  <si>
    <t>1495</t>
  </si>
  <si>
    <t>829</t>
  </si>
  <si>
    <t>786</t>
  </si>
  <si>
    <t>1556</t>
  </si>
  <si>
    <t>125</t>
  </si>
  <si>
    <t>173</t>
  </si>
  <si>
    <t>120</t>
  </si>
  <si>
    <t>20194</t>
  </si>
  <si>
    <t>15594</t>
  </si>
  <si>
    <t>10428</t>
  </si>
  <si>
    <t>15756</t>
  </si>
  <si>
    <t>4054</t>
  </si>
  <si>
    <t>2004</t>
  </si>
  <si>
    <t>1657</t>
  </si>
  <si>
    <t>1401</t>
  </si>
  <si>
    <t>13810</t>
  </si>
  <si>
    <t>17413</t>
  </si>
  <si>
    <t>12029</t>
  </si>
  <si>
    <t>13642</t>
  </si>
  <si>
    <t>13876</t>
  </si>
  <si>
    <t>11024</t>
  </si>
  <si>
    <t>10454</t>
  </si>
  <si>
    <t>15454</t>
  </si>
  <si>
    <t>5031</t>
  </si>
  <si>
    <t>2954</t>
  </si>
  <si>
    <t>2169</t>
  </si>
  <si>
    <t>4382</t>
  </si>
  <si>
    <t>3147</t>
  </si>
  <si>
    <t>1608</t>
  </si>
  <si>
    <t>1294</t>
  </si>
  <si>
    <t>3269</t>
  </si>
  <si>
    <t>2727</t>
  </si>
  <si>
    <t>3639</t>
  </si>
  <si>
    <t>2731</t>
  </si>
  <si>
    <t>4156</t>
  </si>
  <si>
    <t>1186</t>
  </si>
  <si>
    <t>3067</t>
  </si>
  <si>
    <t>1935</t>
  </si>
  <si>
    <t>2820</t>
  </si>
  <si>
    <t>35806</t>
  </si>
  <si>
    <t>69646</t>
  </si>
  <si>
    <t>17797</t>
  </si>
  <si>
    <t>32369</t>
  </si>
  <si>
    <t>12133</t>
  </si>
  <si>
    <t>3383</t>
  </si>
  <si>
    <t>8135</t>
  </si>
  <si>
    <t>1700</t>
  </si>
  <si>
    <t>2743</t>
  </si>
  <si>
    <t>2505</t>
  </si>
  <si>
    <t>2322</t>
  </si>
  <si>
    <t>1288</t>
  </si>
  <si>
    <t>464</t>
  </si>
  <si>
    <t>344</t>
  </si>
  <si>
    <t>1561</t>
  </si>
  <si>
    <t>1354</t>
  </si>
  <si>
    <t>2878</t>
  </si>
  <si>
    <t>2270</t>
  </si>
  <si>
    <t>1301</t>
  </si>
  <si>
    <t>1994</t>
  </si>
  <si>
    <t>1427</t>
  </si>
  <si>
    <t xml:space="preserve">Місто </t>
  </si>
  <si>
    <t xml:space="preserve">Область </t>
  </si>
  <si>
    <t xml:space="preserve">Кропивницький </t>
  </si>
  <si>
    <t xml:space="preserve">Чернігів </t>
  </si>
  <si>
    <t>Луцьк</t>
  </si>
  <si>
    <t>Рівне</t>
  </si>
  <si>
    <t xml:space="preserve">Тернопіль </t>
  </si>
  <si>
    <t>Вінниця</t>
  </si>
  <si>
    <t xml:space="preserve">Житомир </t>
  </si>
  <si>
    <t xml:space="preserve">Ужгород </t>
  </si>
  <si>
    <t>Ціни на вторинному  ринку по містах (Україна)</t>
  </si>
  <si>
    <t>Орієнтовна ціна медіанна ціна найдешевшої квартири (млн.  грн)</t>
  </si>
  <si>
    <t>Орієнтовна ціна медіанна найдешевшої квартири ($)</t>
  </si>
  <si>
    <t>Орієнтовна ціна  будинку ($)</t>
  </si>
  <si>
    <t>Ціна  будинку за м 2 ($)</t>
  </si>
  <si>
    <t>https://public.tableau.com/app/profile/valentyna.mamenko/viz/_17770600434550/Dashboard3?publish=yes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</si>
</sst>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7.5"/>
      <color theme="1"/>
      <name val="Verdana"/>
      <family val="2"/>
      <charset val="204"/>
    </font>
    <font>
      <sz val="10"/>
      <color theme="1"/>
      <name val="Verdana"/>
      <family val="2"/>
      <charset val="204"/>
    </font>
    <font>
      <sz val="8"/>
      <name val="Calibri"/>
      <family val="2"/>
      <charset val="204"/>
      <scheme val="minor"/>
    </font>
    <font>
      <u/>
      <sz val="11"/>
      <color theme="10"/>
      <name val="Calibri"/>
      <family val="2"/>
      <charset val="204"/>
      <scheme val="minor"/>
    </font>
    <font>
      <sz val="9"/>
      <color theme="1"/>
      <name val="Calibri"/>
      <family val="2"/>
      <charset val="204"/>
      <scheme val="minor"/>
    </font>
    <font>
      <sz val="9"/>
      <color theme="1"/>
      <name val="Verdana"/>
      <family val="2"/>
      <charset val="204"/>
    </font>
    <font>
      <vertAlign val="superscript"/>
      <sz val="10"/>
      <color theme="1"/>
      <name val="Verdana"/>
      <family val="2"/>
      <charset val="204"/>
    </font>
    <font>
      <i/>
      <sz val="10"/>
      <color theme="1"/>
      <name val="Verdana"/>
      <family val="2"/>
      <charset val="204"/>
    </font>
    <font>
      <sz val="10"/>
      <color rgb="FF000000"/>
      <name val="Verdana"/>
      <family val="2"/>
      <charset val="204"/>
    </font>
    <font>
      <vertAlign val="superscript"/>
      <sz val="9"/>
      <color theme="1"/>
      <name val="Verdana"/>
      <family val="2"/>
      <charset val="204"/>
    </font>
    <font>
      <sz val="10"/>
      <name val="Verdana"/>
      <family val="2"/>
      <charset val="204"/>
    </font>
    <font>
      <b/>
      <sz val="13.5"/>
      <color theme="1"/>
      <name val="Calibri"/>
      <family val="2"/>
      <charset val="204"/>
      <scheme val="minor"/>
    </font>
    <font>
      <b/>
      <sz val="15"/>
      <color theme="1"/>
      <name val="Calibri"/>
      <family val="2"/>
      <charset val="204"/>
      <scheme val="minor"/>
    </font>
    <font>
      <sz val="15"/>
      <color theme="1"/>
      <name val="Calibri"/>
      <family val="2"/>
      <charset val="204"/>
      <scheme val="minor"/>
    </font>
    <font>
      <b/>
      <sz val="15"/>
      <color rgb="FFED0000"/>
      <name val="Calibri"/>
      <family val="2"/>
      <charset val="204"/>
      <scheme val="minor"/>
    </font>
  </fonts>
  <fills count="8">
    <fill>
      <patternFill patternType="none"/>
    </fill>
    <fill>
      <patternFill patternType="gray125"/>
    </fill>
    <fill>
      <patternFill patternType="solid">
        <fgColor rgb="FFCCFF33"/>
        <bgColor indexed="64"/>
      </patternFill>
    </fill>
    <fill>
      <patternFill patternType="solid">
        <fgColor theme="2" tint="-0.249977111117893"/>
        <bgColor indexed="64"/>
      </patternFill>
    </fill>
    <fill>
      <patternFill patternType="solid">
        <fgColor rgb="FF00B050"/>
        <bgColor indexed="64"/>
      </patternFill>
    </fill>
    <fill>
      <patternFill patternType="solid">
        <fgColor theme="9" tint="0.39997558519241921"/>
        <bgColor indexed="64"/>
      </patternFill>
    </fill>
    <fill>
      <patternFill patternType="solid">
        <fgColor rgb="FF27D32F"/>
        <bgColor indexed="64"/>
      </patternFill>
    </fill>
    <fill>
      <patternFill patternType="solid">
        <fgColor rgb="FFFEFC9C"/>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6" fillId="0" borderId="0" applyNumberFormat="0" applyFill="0" applyBorder="0" applyAlignment="0" applyProtection="0"/>
    <xf numFmtId="0" fontId="7" fillId="0" borderId="0"/>
  </cellStyleXfs>
  <cellXfs count="72">
    <xf numFmtId="0" fontId="0" fillId="0" borderId="0" xfId="0"/>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49" fontId="4" fillId="0" borderId="0" xfId="0" applyNumberFormat="1" applyFont="1" applyAlignment="1">
      <alignment horizontal="center" vertical="center" wrapText="1"/>
    </xf>
    <xf numFmtId="164" fontId="4" fillId="0" borderId="0" xfId="0" applyNumberFormat="1" applyFont="1" applyAlignment="1">
      <alignment horizontal="right" vertical="center" wrapText="1" indent="1"/>
    </xf>
    <xf numFmtId="9" fontId="0" fillId="0" borderId="0" xfId="1" applyFont="1"/>
    <xf numFmtId="0" fontId="4" fillId="0" borderId="4" xfId="3" applyFont="1" applyBorder="1" applyAlignment="1">
      <alignment horizontal="center" vertical="center" wrapText="1"/>
    </xf>
    <xf numFmtId="0" fontId="4" fillId="0" borderId="7" xfId="3" applyFont="1" applyBorder="1" applyAlignment="1">
      <alignment horizontal="left" vertical="center" wrapText="1"/>
    </xf>
    <xf numFmtId="0" fontId="11" fillId="0" borderId="7" xfId="3" applyFont="1" applyBorder="1" applyAlignment="1">
      <alignment horizontal="right" vertical="center" wrapText="1"/>
    </xf>
    <xf numFmtId="0" fontId="4" fillId="0" borderId="0" xfId="3" applyFont="1" applyAlignment="1">
      <alignment horizontal="left" vertical="center" wrapText="1"/>
    </xf>
    <xf numFmtId="0" fontId="11" fillId="0" borderId="0" xfId="3" applyFont="1" applyAlignment="1">
      <alignment horizontal="right" vertical="center" wrapText="1"/>
    </xf>
    <xf numFmtId="0" fontId="8" fillId="0" borderId="4" xfId="0" applyFont="1" applyBorder="1" applyAlignment="1">
      <alignment horizontal="center" vertical="center" wrapText="1"/>
    </xf>
    <xf numFmtId="0" fontId="11" fillId="0" borderId="7" xfId="0" applyFont="1" applyBorder="1" applyAlignment="1">
      <alignment horizontal="right" vertical="center" wrapText="1"/>
    </xf>
    <xf numFmtId="0" fontId="11" fillId="0" borderId="0" xfId="0" applyFont="1" applyAlignment="1">
      <alignment horizontal="right" vertical="center" wrapText="1"/>
    </xf>
    <xf numFmtId="0" fontId="8" fillId="0" borderId="5" xfId="3" applyFont="1" applyBorder="1" applyAlignment="1">
      <alignment horizontal="center" vertical="center" wrapText="1"/>
    </xf>
    <xf numFmtId="0" fontId="8" fillId="0" borderId="4" xfId="3" applyFont="1" applyBorder="1" applyAlignment="1">
      <alignment horizontal="center" vertical="center" wrapText="1"/>
    </xf>
    <xf numFmtId="0" fontId="4" fillId="0" borderId="7" xfId="3" applyFont="1" applyBorder="1"/>
    <xf numFmtId="0" fontId="4" fillId="0" borderId="0" xfId="3" applyFont="1"/>
    <xf numFmtId="0" fontId="4" fillId="0" borderId="4" xfId="0" applyFont="1" applyBorder="1" applyAlignment="1">
      <alignment horizontal="center" vertical="center" wrapText="1"/>
    </xf>
    <xf numFmtId="0" fontId="4" fillId="0" borderId="0" xfId="0" applyFont="1"/>
    <xf numFmtId="0" fontId="4" fillId="0" borderId="0" xfId="0" applyFont="1" applyAlignment="1">
      <alignment horizontal="right" wrapText="1"/>
    </xf>
    <xf numFmtId="0" fontId="4" fillId="0" borderId="0" xfId="3" applyFont="1" applyAlignment="1">
      <alignment horizontal="right" vertical="center" wrapText="1"/>
    </xf>
    <xf numFmtId="0" fontId="4" fillId="0" borderId="7" xfId="0" applyFont="1" applyBorder="1" applyAlignment="1">
      <alignment horizontal="right" vertical="center" wrapText="1"/>
    </xf>
    <xf numFmtId="0" fontId="13" fillId="0" borderId="0" xfId="0" applyFont="1" applyAlignment="1">
      <alignment horizontal="right" wrapText="1"/>
    </xf>
    <xf numFmtId="0" fontId="6" fillId="0" borderId="0" xfId="2"/>
    <xf numFmtId="1" fontId="11" fillId="0" borderId="7" xfId="3" applyNumberFormat="1" applyFont="1" applyBorder="1" applyAlignment="1">
      <alignment horizontal="right" vertical="center" wrapText="1"/>
    </xf>
    <xf numFmtId="1" fontId="4" fillId="0" borderId="7" xfId="3" applyNumberFormat="1" applyFont="1" applyBorder="1"/>
    <xf numFmtId="0" fontId="0" fillId="7" borderId="0" xfId="0" applyFill="1"/>
    <xf numFmtId="0" fontId="4" fillId="0" borderId="3" xfId="3" applyFont="1" applyBorder="1" applyAlignment="1">
      <alignment horizontal="center" vertical="center" wrapText="1"/>
    </xf>
    <xf numFmtId="0" fontId="4" fillId="0" borderId="5" xfId="3" applyFont="1" applyBorder="1" applyAlignment="1">
      <alignment horizontal="center" vertical="center" wrapText="1"/>
    </xf>
    <xf numFmtId="0" fontId="4" fillId="0" borderId="4" xfId="3" applyFont="1" applyBorder="1" applyAlignment="1">
      <alignment horizontal="center" vertical="center" wrapText="1"/>
    </xf>
    <xf numFmtId="0" fontId="4" fillId="0" borderId="6" xfId="3" applyFont="1" applyBorder="1" applyAlignment="1">
      <alignment horizontal="center" vertical="center" wrapText="1"/>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14" fillId="0" borderId="8" xfId="0" applyFont="1" applyBorder="1" applyAlignment="1">
      <alignment vertical="center"/>
    </xf>
    <xf numFmtId="0" fontId="0" fillId="0" borderId="9" xfId="0" applyBorder="1"/>
    <xf numFmtId="0" fontId="0" fillId="0" borderId="10" xfId="0" applyBorder="1"/>
    <xf numFmtId="0" fontId="0" fillId="0" borderId="11" xfId="0" applyBorder="1"/>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3" xfId="0" applyBorder="1"/>
    <xf numFmtId="0" fontId="0" fillId="0" borderId="14" xfId="0" applyBorder="1"/>
    <xf numFmtId="0" fontId="0" fillId="0" borderId="0" xfId="0" applyBorder="1"/>
    <xf numFmtId="0" fontId="2" fillId="0" borderId="0" xfId="0" applyFont="1" applyBorder="1" applyAlignment="1">
      <alignment horizontal="center" vertical="center" wrapText="1"/>
    </xf>
    <xf numFmtId="0" fontId="0" fillId="0" borderId="0" xfId="0" applyBorder="1" applyAlignment="1">
      <alignment vertical="center" wrapText="1"/>
    </xf>
    <xf numFmtId="0" fontId="0" fillId="0" borderId="15" xfId="0" applyBorder="1" applyAlignment="1">
      <alignment vertical="center" wrapText="1"/>
    </xf>
    <xf numFmtId="0" fontId="0" fillId="0" borderId="13" xfId="0" applyBorder="1" applyAlignment="1">
      <alignment vertical="center" wrapText="1"/>
    </xf>
    <xf numFmtId="0" fontId="3" fillId="0" borderId="0" xfId="0" applyFont="1" applyBorder="1" applyAlignment="1">
      <alignment horizontal="center" vertical="center" wrapText="1"/>
    </xf>
    <xf numFmtId="0" fontId="4" fillId="0" borderId="0" xfId="0" applyFont="1" applyBorder="1" applyAlignment="1">
      <alignment horizontal="center" vertical="center" wrapText="1"/>
    </xf>
    <xf numFmtId="49" fontId="4" fillId="0" borderId="0" xfId="0" applyNumberFormat="1" applyFont="1" applyBorder="1" applyAlignment="1">
      <alignment horizontal="center" vertical="center" wrapText="1"/>
    </xf>
    <xf numFmtId="0" fontId="0" fillId="0" borderId="8" xfId="0" applyBorder="1"/>
    <xf numFmtId="0" fontId="14" fillId="0" borderId="14" xfId="0" applyFont="1" applyBorder="1" applyAlignment="1">
      <alignment vertical="center"/>
    </xf>
    <xf numFmtId="0" fontId="14" fillId="0" borderId="16" xfId="0" applyFont="1" applyBorder="1" applyAlignment="1">
      <alignment vertical="center"/>
    </xf>
    <xf numFmtId="0" fontId="0" fillId="0" borderId="17" xfId="0" applyBorder="1"/>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xf>
    <xf numFmtId="0" fontId="15" fillId="3"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6" fillId="6" borderId="1" xfId="0" applyFont="1" applyFill="1" applyBorder="1" applyAlignment="1">
      <alignment vertical="center" wrapText="1"/>
    </xf>
    <xf numFmtId="0" fontId="16" fillId="5" borderId="1" xfId="0" applyFont="1" applyFill="1" applyBorder="1" applyAlignment="1">
      <alignment horizontal="center" vertical="center" wrapText="1"/>
    </xf>
    <xf numFmtId="0" fontId="16" fillId="5" borderId="1" xfId="0" applyFont="1" applyFill="1" applyBorder="1" applyAlignment="1">
      <alignment vertical="center" wrapText="1"/>
    </xf>
    <xf numFmtId="0" fontId="16" fillId="7" borderId="1" xfId="0" applyFont="1" applyFill="1" applyBorder="1" applyAlignment="1">
      <alignment horizontal="center" vertical="center" wrapText="1"/>
    </xf>
    <xf numFmtId="0" fontId="16" fillId="7" borderId="1" xfId="0" applyFont="1" applyFill="1" applyBorder="1" applyAlignment="1">
      <alignment vertical="center" wrapText="1"/>
    </xf>
    <xf numFmtId="0" fontId="16" fillId="4" borderId="1" xfId="0" applyFont="1" applyFill="1" applyBorder="1" applyAlignment="1">
      <alignment horizontal="center" vertical="center" wrapText="1"/>
    </xf>
    <xf numFmtId="0" fontId="16" fillId="4" borderId="1" xfId="0" applyFont="1" applyFill="1" applyBorder="1" applyAlignment="1">
      <alignment vertical="center" wrapText="1"/>
    </xf>
    <xf numFmtId="0" fontId="17" fillId="2" borderId="1" xfId="0" applyFont="1" applyFill="1" applyBorder="1" applyAlignment="1">
      <alignment horizontal="center" vertical="center" wrapText="1"/>
    </xf>
    <xf numFmtId="0" fontId="17" fillId="2" borderId="1" xfId="0" applyFont="1" applyFill="1" applyBorder="1" applyAlignment="1">
      <alignment vertical="center" wrapText="1"/>
    </xf>
    <xf numFmtId="0" fontId="16" fillId="0" borderId="0" xfId="0" applyFont="1"/>
  </cellXfs>
  <cellStyles count="4">
    <cellStyle name="Гиперссылка" xfId="2" builtinId="8"/>
    <cellStyle name="Обычный" xfId="0" builtinId="0"/>
    <cellStyle name="Обычный 3" xfId="3" xr:uid="{5F0BDA1F-D006-401F-952D-0420869B51A5}"/>
    <cellStyle name="Процентный" xfId="1" builtinId="5"/>
  </cellStyles>
  <dxfs count="0"/>
  <tableStyles count="0" defaultTableStyle="TableStyleMedium2" defaultPivotStyle="PivotStyleLight16"/>
  <colors>
    <mruColors>
      <color rgb="FF6600FF"/>
      <color rgb="FFCC99FF"/>
      <color rgb="FF3399FF"/>
      <color rgb="FFFEFC9C"/>
      <color rgb="FFF1F3A5"/>
      <color rgb="FF27D32F"/>
      <color rgb="FF1D9B23"/>
      <color rgb="FFCCFF33"/>
      <color rgb="FF99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k-UA"/>
              <a:t>Індекс споживчих  цін  на окремі категорії товарів</a:t>
            </a:r>
            <a:r>
              <a:rPr lang="uk-UA" baseline="0"/>
              <a:t> та послуг в порівнянні з будівництвом за період </a:t>
            </a:r>
            <a:r>
              <a:rPr lang="uk-UA"/>
              <a:t> </a:t>
            </a:r>
            <a:r>
              <a:rPr lang="en-US"/>
              <a:t>201</a:t>
            </a:r>
            <a:r>
              <a:rPr lang="uk-UA"/>
              <a:t>8</a:t>
            </a:r>
            <a:r>
              <a:rPr lang="en-US"/>
              <a:t>-202</a:t>
            </a:r>
            <a:r>
              <a:rPr lang="uk-UA"/>
              <a:t>5рр.</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Index_analisys!$A$2</c:f>
              <c:strCache>
                <c:ptCount val="1"/>
                <c:pt idx="0">
                  <c:v>2018-2025</c:v>
                </c:pt>
              </c:strCache>
            </c:strRef>
          </c:tx>
          <c:spPr>
            <a:solidFill>
              <a:srgbClr val="CC99FF"/>
            </a:solidFill>
            <a:ln>
              <a:noFill/>
            </a:ln>
            <a:effectLst/>
          </c:spPr>
          <c:invertIfNegative val="0"/>
          <c:dPt>
            <c:idx val="11"/>
            <c:invertIfNegative val="0"/>
            <c:bubble3D val="0"/>
            <c:spPr>
              <a:solidFill>
                <a:srgbClr val="6600FF"/>
              </a:solidFill>
              <a:ln>
                <a:noFill/>
              </a:ln>
              <a:effectLst/>
            </c:spPr>
            <c:extLst>
              <c:ext xmlns:c16="http://schemas.microsoft.com/office/drawing/2014/chart" uri="{C3380CC4-5D6E-409C-BE32-E72D297353CC}">
                <c16:uniqueId val="{00000001-EA25-404E-9B81-3CC8568000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Index_analisys!$B$1:$M$1</c:f>
              <c:strCache>
                <c:ptCount val="12"/>
                <c:pt idx="0">
                  <c:v>Індекс споживчих цін загальний </c:v>
                </c:pt>
                <c:pt idx="1">
                  <c:v>Продукти
харчування
</c:v>
                </c:pt>
                <c:pt idx="2">
                  <c:v>Одяг і
взуття</c:v>
                </c:pt>
                <c:pt idx="3">
                  <c:v>Комунальні платежі</c:v>
                </c:pt>
                <c:pt idx="4">
                  <c:v>Предмети 
домашнього
 вжитку</c:v>
                </c:pt>
                <c:pt idx="5">
                  <c:v>Охорона
здоров’я</c:v>
                </c:pt>
                <c:pt idx="6">
                  <c:v>Транспорт</c:v>
                </c:pt>
                <c:pt idx="7">
                  <c:v>Зв’язок</c:v>
                </c:pt>
                <c:pt idx="8">
                  <c:v>Відпочинок
і культура</c:v>
                </c:pt>
                <c:pt idx="9">
                  <c:v>Освіта</c:v>
                </c:pt>
                <c:pt idx="10">
                  <c:v>Ресторани
та готел</c:v>
                </c:pt>
                <c:pt idx="11">
                  <c:v> Будівлі</c:v>
                </c:pt>
              </c:strCache>
            </c:strRef>
          </c:cat>
          <c:val>
            <c:numRef>
              <c:f>Index_analisys!$B$2:$M$2</c:f>
              <c:numCache>
                <c:formatCode>0%</c:formatCode>
                <c:ptCount val="12"/>
                <c:pt idx="0">
                  <c:v>2.1898415400959461</c:v>
                </c:pt>
                <c:pt idx="1">
                  <c:v>2.4416798944790234</c:v>
                </c:pt>
                <c:pt idx="2">
                  <c:v>0.80771580425414213</c:v>
                </c:pt>
                <c:pt idx="3">
                  <c:v>2.020010893580003</c:v>
                </c:pt>
                <c:pt idx="4">
                  <c:v>1.4888525512832429</c:v>
                </c:pt>
                <c:pt idx="5">
                  <c:v>2.0811063337693598</c:v>
                </c:pt>
                <c:pt idx="6">
                  <c:v>2.2067664597269658</c:v>
                </c:pt>
                <c:pt idx="7">
                  <c:v>2.0611109856279266</c:v>
                </c:pt>
                <c:pt idx="8">
                  <c:v>1.2813231304924875</c:v>
                </c:pt>
                <c:pt idx="9">
                  <c:v>2.7186112276385268</c:v>
                </c:pt>
                <c:pt idx="10">
                  <c:v>2.5303171648008891</c:v>
                </c:pt>
                <c:pt idx="11">
                  <c:v>2.6218388055336734</c:v>
                </c:pt>
              </c:numCache>
            </c:numRef>
          </c:val>
          <c:extLst>
            <c:ext xmlns:c16="http://schemas.microsoft.com/office/drawing/2014/chart" uri="{C3380CC4-5D6E-409C-BE32-E72D297353CC}">
              <c16:uniqueId val="{00000000-EA25-404E-9B81-3CC8568000FB}"/>
            </c:ext>
          </c:extLst>
        </c:ser>
        <c:dLbls>
          <c:dLblPos val="outEnd"/>
          <c:showLegendKey val="0"/>
          <c:showVal val="1"/>
          <c:showCatName val="0"/>
          <c:showSerName val="0"/>
          <c:showPercent val="0"/>
          <c:showBubbleSize val="0"/>
        </c:dLbls>
        <c:gapWidth val="219"/>
        <c:overlap val="-27"/>
        <c:axId val="589015736"/>
        <c:axId val="589020056"/>
      </c:barChart>
      <c:catAx>
        <c:axId val="589015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mn-cs"/>
              </a:defRPr>
            </a:pPr>
            <a:endParaRPr lang="ru-UA"/>
          </a:p>
        </c:txPr>
        <c:crossAx val="589020056"/>
        <c:crosses val="autoZero"/>
        <c:auto val="1"/>
        <c:lblAlgn val="ctr"/>
        <c:lblOffset val="100"/>
        <c:noMultiLvlLbl val="0"/>
      </c:catAx>
      <c:valAx>
        <c:axId val="589020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589015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k-UA"/>
              <a:t>Порівння індексу</a:t>
            </a:r>
            <a:r>
              <a:rPr lang="uk-UA" baseline="0"/>
              <a:t> споживчих  цін на житловий, нежитловий  та окремо квартирний фонд за період  </a:t>
            </a:r>
            <a:r>
              <a:rPr lang="en-US"/>
              <a:t>201</a:t>
            </a:r>
            <a:r>
              <a:rPr lang="uk-UA"/>
              <a:t>8</a:t>
            </a:r>
            <a:r>
              <a:rPr lang="en-US"/>
              <a:t>-202</a:t>
            </a:r>
            <a:r>
              <a:rPr lang="uk-UA"/>
              <a:t>5рр.</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barChart>
        <c:barDir val="col"/>
        <c:grouping val="clustered"/>
        <c:varyColors val="0"/>
        <c:ser>
          <c:idx val="0"/>
          <c:order val="0"/>
          <c:tx>
            <c:strRef>
              <c:f>Index_analisys!$A$29</c:f>
              <c:strCache>
                <c:ptCount val="1"/>
                <c:pt idx="0">
                  <c:v>2017-2025</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Index_analisys!$B$28:$F$28</c:f>
              <c:strCache>
                <c:ptCount val="5"/>
                <c:pt idx="0">
                  <c:v> Будівлі</c:v>
                </c:pt>
                <c:pt idx="1">
                  <c:v>Житлові будинки</c:v>
                </c:pt>
                <c:pt idx="2">
                  <c:v>Нежитлові будівлі</c:v>
                </c:pt>
                <c:pt idx="3">
                  <c:v> Первинний ринок  квартир</c:v>
                </c:pt>
                <c:pt idx="4">
                  <c:v>Вторинний ринок  квартир</c:v>
                </c:pt>
              </c:strCache>
            </c:strRef>
          </c:cat>
          <c:val>
            <c:numRef>
              <c:f>Index_analisys!$B$29:$F$29</c:f>
              <c:numCache>
                <c:formatCode>0%</c:formatCode>
                <c:ptCount val="5"/>
                <c:pt idx="0">
                  <c:v>2.6218388055336734</c:v>
                </c:pt>
                <c:pt idx="1">
                  <c:v>2.6860927496223699</c:v>
                </c:pt>
                <c:pt idx="2">
                  <c:v>2.5542651838976997</c:v>
                </c:pt>
                <c:pt idx="3">
                  <c:v>2.3163766068543947</c:v>
                </c:pt>
                <c:pt idx="4">
                  <c:v>2.4004060960609723</c:v>
                </c:pt>
              </c:numCache>
            </c:numRef>
          </c:val>
          <c:extLst>
            <c:ext xmlns:c16="http://schemas.microsoft.com/office/drawing/2014/chart" uri="{C3380CC4-5D6E-409C-BE32-E72D297353CC}">
              <c16:uniqueId val="{00000000-383F-403A-9175-EE07C4BB08FD}"/>
            </c:ext>
          </c:extLst>
        </c:ser>
        <c:dLbls>
          <c:dLblPos val="outEnd"/>
          <c:showLegendKey val="0"/>
          <c:showVal val="1"/>
          <c:showCatName val="0"/>
          <c:showSerName val="0"/>
          <c:showPercent val="0"/>
          <c:showBubbleSize val="0"/>
        </c:dLbls>
        <c:gapWidth val="219"/>
        <c:overlap val="-27"/>
        <c:axId val="488750168"/>
        <c:axId val="488748728"/>
      </c:barChart>
      <c:catAx>
        <c:axId val="488750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mn-cs"/>
              </a:defRPr>
            </a:pPr>
            <a:endParaRPr lang="ru-UA"/>
          </a:p>
        </c:txPr>
        <c:crossAx val="488748728"/>
        <c:crosses val="autoZero"/>
        <c:auto val="1"/>
        <c:lblAlgn val="ctr"/>
        <c:lblOffset val="100"/>
        <c:noMultiLvlLbl val="0"/>
      </c:catAx>
      <c:valAx>
        <c:axId val="488748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88750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k-UA"/>
              <a:t>Темпи росту будівництва житлового та нежитлового фонду за період 2018-2025рр. (</a:t>
            </a:r>
            <a:r>
              <a:rPr lang="uk-UA" baseline="0"/>
              <a:t> тис. м2)</a:t>
            </a:r>
            <a:r>
              <a:rPr lang="uk-UA"/>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m_2analisys!$B$1</c:f>
              <c:strCache>
                <c:ptCount val="1"/>
                <c:pt idx="0">
                  <c:v>Загальна площа житлових будинків на початок будівництва2, тис. м2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ru-U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m_2analisys!$A$2:$A$9</c:f>
              <c:numCache>
                <c:formatCode>General</c:formatCode>
                <c:ptCount val="8"/>
                <c:pt idx="0">
                  <c:v>2018</c:v>
                </c:pt>
                <c:pt idx="1">
                  <c:v>2019</c:v>
                </c:pt>
                <c:pt idx="2">
                  <c:v>2020</c:v>
                </c:pt>
                <c:pt idx="3">
                  <c:v>2021</c:v>
                </c:pt>
                <c:pt idx="4">
                  <c:v>2022</c:v>
                </c:pt>
                <c:pt idx="5">
                  <c:v>2023</c:v>
                </c:pt>
                <c:pt idx="6">
                  <c:v>2024</c:v>
                </c:pt>
                <c:pt idx="7">
                  <c:v>2025</c:v>
                </c:pt>
              </c:numCache>
            </c:numRef>
          </c:cat>
          <c:val>
            <c:numRef>
              <c:f>m_2analisys!$B$2:$B$9</c:f>
              <c:numCache>
                <c:formatCode>0</c:formatCode>
                <c:ptCount val="8"/>
                <c:pt idx="0">
                  <c:v>12873.616</c:v>
                </c:pt>
                <c:pt idx="1">
                  <c:v>14700.707</c:v>
                </c:pt>
                <c:pt idx="2">
                  <c:v>7514.31</c:v>
                </c:pt>
                <c:pt idx="3">
                  <c:v>12714.907999999999</c:v>
                </c:pt>
                <c:pt idx="4">
                  <c:v>6668.9840000000004</c:v>
                </c:pt>
                <c:pt idx="5">
                  <c:v>4205.3180000000002</c:v>
                </c:pt>
                <c:pt idx="6">
                  <c:v>3903.4</c:v>
                </c:pt>
                <c:pt idx="7">
                  <c:v>5829.884</c:v>
                </c:pt>
              </c:numCache>
            </c:numRef>
          </c:val>
          <c:smooth val="0"/>
          <c:extLst>
            <c:ext xmlns:c16="http://schemas.microsoft.com/office/drawing/2014/chart" uri="{C3380CC4-5D6E-409C-BE32-E72D297353CC}">
              <c16:uniqueId val="{00000000-6E09-44B7-8FFC-F2B95EFE7075}"/>
            </c:ext>
          </c:extLst>
        </c:ser>
        <c:ser>
          <c:idx val="1"/>
          <c:order val="1"/>
          <c:tx>
            <c:strRef>
              <c:f>m_2analisys!$C$1</c:f>
              <c:strCache>
                <c:ptCount val="1"/>
                <c:pt idx="0">
                  <c:v>Загальна площа нежитлових будівель на початок будівництва,тис. м2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accent2"/>
                    </a:solidFill>
                    <a:latin typeface="+mn-lt"/>
                    <a:ea typeface="+mn-ea"/>
                    <a:cs typeface="+mn-cs"/>
                  </a:defRPr>
                </a:pPr>
                <a:endParaRPr lang="ru-UA"/>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m_2analisys!$A$2:$A$9</c:f>
              <c:numCache>
                <c:formatCode>General</c:formatCode>
                <c:ptCount val="8"/>
                <c:pt idx="0">
                  <c:v>2018</c:v>
                </c:pt>
                <c:pt idx="1">
                  <c:v>2019</c:v>
                </c:pt>
                <c:pt idx="2">
                  <c:v>2020</c:v>
                </c:pt>
                <c:pt idx="3">
                  <c:v>2021</c:v>
                </c:pt>
                <c:pt idx="4">
                  <c:v>2022</c:v>
                </c:pt>
                <c:pt idx="5">
                  <c:v>2023</c:v>
                </c:pt>
                <c:pt idx="6">
                  <c:v>2024</c:v>
                </c:pt>
                <c:pt idx="7">
                  <c:v>2025</c:v>
                </c:pt>
              </c:numCache>
            </c:numRef>
          </c:cat>
          <c:val>
            <c:numRef>
              <c:f>m_2analisys!$C$2:$C$9</c:f>
              <c:numCache>
                <c:formatCode>0</c:formatCode>
                <c:ptCount val="8"/>
                <c:pt idx="0">
                  <c:v>3832.4369999999999</c:v>
                </c:pt>
                <c:pt idx="1">
                  <c:v>5307.3289999999997</c:v>
                </c:pt>
                <c:pt idx="2">
                  <c:v>3791.8850000000002</c:v>
                </c:pt>
                <c:pt idx="3">
                  <c:v>6241.6559999999999</c:v>
                </c:pt>
                <c:pt idx="4">
                  <c:v>2538.0740000000001</c:v>
                </c:pt>
                <c:pt idx="5">
                  <c:v>2866.6930000000002</c:v>
                </c:pt>
                <c:pt idx="6">
                  <c:v>4414.1530000000002</c:v>
                </c:pt>
                <c:pt idx="7">
                  <c:v>4140.8649999999998</c:v>
                </c:pt>
              </c:numCache>
            </c:numRef>
          </c:val>
          <c:smooth val="0"/>
          <c:extLst>
            <c:ext xmlns:c16="http://schemas.microsoft.com/office/drawing/2014/chart" uri="{C3380CC4-5D6E-409C-BE32-E72D297353CC}">
              <c16:uniqueId val="{00000001-6E09-44B7-8FFC-F2B95EFE7075}"/>
            </c:ext>
          </c:extLst>
        </c:ser>
        <c:dLbls>
          <c:showLegendKey val="0"/>
          <c:showVal val="0"/>
          <c:showCatName val="0"/>
          <c:showSerName val="0"/>
          <c:showPercent val="0"/>
          <c:showBubbleSize val="0"/>
        </c:dLbls>
        <c:marker val="1"/>
        <c:smooth val="0"/>
        <c:axId val="488746928"/>
        <c:axId val="488749088"/>
      </c:lineChart>
      <c:catAx>
        <c:axId val="48874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88749088"/>
        <c:crosses val="autoZero"/>
        <c:auto val="1"/>
        <c:lblAlgn val="ctr"/>
        <c:lblOffset val="100"/>
        <c:noMultiLvlLbl val="0"/>
      </c:catAx>
      <c:valAx>
        <c:axId val="488749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8874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k-UA" sz="1400" b="0" i="0" u="none" strike="noStrike" kern="1200" spc="0" baseline="0">
                <a:solidFill>
                  <a:sysClr val="windowText" lastClr="000000">
                    <a:lumMod val="65000"/>
                    <a:lumOff val="35000"/>
                  </a:sysClr>
                </a:solidFill>
              </a:rPr>
              <a:t>Темпи росту кількості тис. м2 введених в експуатацію житлового та нежитлового фонду за період 2018-2025рр.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UA"/>
        </a:p>
      </c:txPr>
    </c:title>
    <c:autoTitleDeleted val="0"/>
    <c:plotArea>
      <c:layout/>
      <c:lineChart>
        <c:grouping val="standard"/>
        <c:varyColors val="0"/>
        <c:ser>
          <c:idx val="0"/>
          <c:order val="0"/>
          <c:tx>
            <c:strRef>
              <c:f>m_2analisys!$I$1</c:f>
              <c:strCache>
                <c:ptCount val="1"/>
                <c:pt idx="0">
                  <c:v>Загальна площа житлових будинків, прийнятих в експлуатацію, тис. м2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ru-U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m_2analisys!$H$2:$H$9</c:f>
              <c:numCache>
                <c:formatCode>General</c:formatCode>
                <c:ptCount val="8"/>
                <c:pt idx="0">
                  <c:v>2018</c:v>
                </c:pt>
                <c:pt idx="1">
                  <c:v>2019</c:v>
                </c:pt>
                <c:pt idx="2">
                  <c:v>2020</c:v>
                </c:pt>
                <c:pt idx="3">
                  <c:v>2021</c:v>
                </c:pt>
                <c:pt idx="4">
                  <c:v>2022</c:v>
                </c:pt>
                <c:pt idx="5">
                  <c:v>2023</c:v>
                </c:pt>
                <c:pt idx="6">
                  <c:v>2024</c:v>
                </c:pt>
                <c:pt idx="7">
                  <c:v>2025</c:v>
                </c:pt>
              </c:numCache>
            </c:numRef>
          </c:cat>
          <c:val>
            <c:numRef>
              <c:f>m_2analisys!$I$2:$I$9</c:f>
              <c:numCache>
                <c:formatCode>0</c:formatCode>
                <c:ptCount val="8"/>
                <c:pt idx="0">
                  <c:v>8689.3559999999998</c:v>
                </c:pt>
                <c:pt idx="1">
                  <c:v>11029.326999999999</c:v>
                </c:pt>
                <c:pt idx="2">
                  <c:v>8451.2209999999995</c:v>
                </c:pt>
                <c:pt idx="3">
                  <c:v>11433.79</c:v>
                </c:pt>
                <c:pt idx="4">
                  <c:v>7110.2240000000002</c:v>
                </c:pt>
                <c:pt idx="5">
                  <c:v>7380.7520000000004</c:v>
                </c:pt>
                <c:pt idx="6">
                  <c:v>9758.8809999999994</c:v>
                </c:pt>
                <c:pt idx="7">
                  <c:v>9553</c:v>
                </c:pt>
              </c:numCache>
            </c:numRef>
          </c:val>
          <c:smooth val="0"/>
          <c:extLst>
            <c:ext xmlns:c16="http://schemas.microsoft.com/office/drawing/2014/chart" uri="{C3380CC4-5D6E-409C-BE32-E72D297353CC}">
              <c16:uniqueId val="{00000000-2627-45A5-9F22-5EB42C2D708D}"/>
            </c:ext>
          </c:extLst>
        </c:ser>
        <c:ser>
          <c:idx val="1"/>
          <c:order val="1"/>
          <c:tx>
            <c:strRef>
              <c:f>m_2analisys!$J$1</c:f>
              <c:strCache>
                <c:ptCount val="1"/>
                <c:pt idx="0">
                  <c:v>Загальна площа нежитлових будівель, прийнятих в експлуатацію, тис. м2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ru-U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m_2analisys!$H$2:$H$9</c:f>
              <c:numCache>
                <c:formatCode>General</c:formatCode>
                <c:ptCount val="8"/>
                <c:pt idx="0">
                  <c:v>2018</c:v>
                </c:pt>
                <c:pt idx="1">
                  <c:v>2019</c:v>
                </c:pt>
                <c:pt idx="2">
                  <c:v>2020</c:v>
                </c:pt>
                <c:pt idx="3">
                  <c:v>2021</c:v>
                </c:pt>
                <c:pt idx="4">
                  <c:v>2022</c:v>
                </c:pt>
                <c:pt idx="5">
                  <c:v>2023</c:v>
                </c:pt>
                <c:pt idx="6">
                  <c:v>2024</c:v>
                </c:pt>
                <c:pt idx="7">
                  <c:v>2025</c:v>
                </c:pt>
              </c:numCache>
            </c:numRef>
          </c:cat>
          <c:val>
            <c:numRef>
              <c:f>m_2analisys!$J$2:$J$9</c:f>
              <c:numCache>
                <c:formatCode>0</c:formatCode>
                <c:ptCount val="8"/>
                <c:pt idx="0">
                  <c:v>2908.3780000000002</c:v>
                </c:pt>
                <c:pt idx="1">
                  <c:v>3962.27</c:v>
                </c:pt>
                <c:pt idx="2">
                  <c:v>3444.1930000000002</c:v>
                </c:pt>
                <c:pt idx="3">
                  <c:v>4948.8739999999998</c:v>
                </c:pt>
                <c:pt idx="4">
                  <c:v>2493.0700000000002</c:v>
                </c:pt>
                <c:pt idx="5">
                  <c:v>2340.35</c:v>
                </c:pt>
                <c:pt idx="6">
                  <c:v>2690.9540000000002</c:v>
                </c:pt>
                <c:pt idx="7">
                  <c:v>3268</c:v>
                </c:pt>
              </c:numCache>
            </c:numRef>
          </c:val>
          <c:smooth val="0"/>
          <c:extLst>
            <c:ext xmlns:c16="http://schemas.microsoft.com/office/drawing/2014/chart" uri="{C3380CC4-5D6E-409C-BE32-E72D297353CC}">
              <c16:uniqueId val="{00000001-2627-45A5-9F22-5EB42C2D708D}"/>
            </c:ext>
          </c:extLst>
        </c:ser>
        <c:dLbls>
          <c:dLblPos val="t"/>
          <c:showLegendKey val="0"/>
          <c:showVal val="1"/>
          <c:showCatName val="0"/>
          <c:showSerName val="0"/>
          <c:showPercent val="0"/>
          <c:showBubbleSize val="0"/>
        </c:dLbls>
        <c:marker val="1"/>
        <c:smooth val="0"/>
        <c:axId val="797222680"/>
        <c:axId val="797216200"/>
      </c:lineChart>
      <c:catAx>
        <c:axId val="797222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797216200"/>
        <c:crosses val="autoZero"/>
        <c:auto val="1"/>
        <c:lblAlgn val="ctr"/>
        <c:lblOffset val="100"/>
        <c:noMultiLvlLbl val="0"/>
      </c:catAx>
      <c:valAx>
        <c:axId val="797216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797222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uk-UA"/>
              <a:t>Динаміка завершення квартирної</a:t>
            </a:r>
            <a:r>
              <a:rPr lang="uk-UA" baseline="0"/>
              <a:t>  забудови  2018-2025рр.</a:t>
            </a:r>
            <a:endParaRPr lang="uk-U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k-UA"/>
        </a:p>
      </c:txPr>
    </c:title>
    <c:autoTitleDeleted val="0"/>
    <c:plotArea>
      <c:layout/>
      <c:barChart>
        <c:barDir val="col"/>
        <c:grouping val="clustered"/>
        <c:varyColors val="0"/>
        <c:ser>
          <c:idx val="0"/>
          <c:order val="0"/>
          <c:tx>
            <c:strRef>
              <c:f>Rawdata_flat!$B$1:$B$2</c:f>
              <c:strCache>
                <c:ptCount val="2"/>
                <c:pt idx="0">
                  <c:v>Кількість квартир у житлових будинках на початок будівництва, одиниць</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ru-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Rawdata_flat!$A$3:$A$10</c:f>
              <c:numCache>
                <c:formatCode>General</c:formatCode>
                <c:ptCount val="8"/>
                <c:pt idx="0">
                  <c:v>2018</c:v>
                </c:pt>
                <c:pt idx="1">
                  <c:v>2019</c:v>
                </c:pt>
                <c:pt idx="2">
                  <c:v>2020</c:v>
                </c:pt>
                <c:pt idx="3">
                  <c:v>2021</c:v>
                </c:pt>
                <c:pt idx="4">
                  <c:v>2022</c:v>
                </c:pt>
                <c:pt idx="5">
                  <c:v>2023</c:v>
                </c:pt>
                <c:pt idx="6">
                  <c:v>2024</c:v>
                </c:pt>
                <c:pt idx="7">
                  <c:v>2025</c:v>
                </c:pt>
              </c:numCache>
            </c:numRef>
          </c:cat>
          <c:val>
            <c:numRef>
              <c:f>Rawdata_flat!$B$3:$B$10</c:f>
              <c:numCache>
                <c:formatCode>General</c:formatCode>
                <c:ptCount val="8"/>
                <c:pt idx="0">
                  <c:v>166991</c:v>
                </c:pt>
                <c:pt idx="1">
                  <c:v>188964</c:v>
                </c:pt>
                <c:pt idx="2">
                  <c:v>112109</c:v>
                </c:pt>
                <c:pt idx="3">
                  <c:v>170754</c:v>
                </c:pt>
                <c:pt idx="4">
                  <c:v>98386</c:v>
                </c:pt>
                <c:pt idx="5">
                  <c:v>66831</c:v>
                </c:pt>
                <c:pt idx="6">
                  <c:v>69294</c:v>
                </c:pt>
                <c:pt idx="7">
                  <c:v>97078</c:v>
                </c:pt>
              </c:numCache>
            </c:numRef>
          </c:val>
          <c:extLst>
            <c:ext xmlns:c16="http://schemas.microsoft.com/office/drawing/2014/chart" uri="{C3380CC4-5D6E-409C-BE32-E72D297353CC}">
              <c16:uniqueId val="{00000000-84F9-4493-9A47-92BB3956C61D}"/>
            </c:ext>
          </c:extLst>
        </c:ser>
        <c:ser>
          <c:idx val="1"/>
          <c:order val="1"/>
          <c:tx>
            <c:strRef>
              <c:f>Rawdata_flat!$C$1:$C$2</c:f>
              <c:strCache>
                <c:ptCount val="2"/>
                <c:pt idx="0">
                  <c:v>Кількість квартир у житлових будинках, прийнятих в експлуатацію, одиниць</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ru-U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Rawdata_flat!$A$3:$A$10</c:f>
              <c:numCache>
                <c:formatCode>General</c:formatCode>
                <c:ptCount val="8"/>
                <c:pt idx="0">
                  <c:v>2018</c:v>
                </c:pt>
                <c:pt idx="1">
                  <c:v>2019</c:v>
                </c:pt>
                <c:pt idx="2">
                  <c:v>2020</c:v>
                </c:pt>
                <c:pt idx="3">
                  <c:v>2021</c:v>
                </c:pt>
                <c:pt idx="4">
                  <c:v>2022</c:v>
                </c:pt>
                <c:pt idx="5">
                  <c:v>2023</c:v>
                </c:pt>
                <c:pt idx="6">
                  <c:v>2024</c:v>
                </c:pt>
                <c:pt idx="7">
                  <c:v>2025</c:v>
                </c:pt>
              </c:numCache>
            </c:numRef>
          </c:cat>
          <c:val>
            <c:numRef>
              <c:f>Rawdata_flat!$C$3:$C$10</c:f>
              <c:numCache>
                <c:formatCode>General</c:formatCode>
                <c:ptCount val="8"/>
                <c:pt idx="0">
                  <c:v>103141</c:v>
                </c:pt>
                <c:pt idx="1">
                  <c:v>125986</c:v>
                </c:pt>
                <c:pt idx="2">
                  <c:v>96504</c:v>
                </c:pt>
                <c:pt idx="3">
                  <c:v>151720</c:v>
                </c:pt>
                <c:pt idx="4">
                  <c:v>92593</c:v>
                </c:pt>
                <c:pt idx="5">
                  <c:v>89255</c:v>
                </c:pt>
                <c:pt idx="6">
                  <c:v>118452</c:v>
                </c:pt>
                <c:pt idx="7">
                  <c:v>117578</c:v>
                </c:pt>
              </c:numCache>
            </c:numRef>
          </c:val>
          <c:extLst>
            <c:ext xmlns:c16="http://schemas.microsoft.com/office/drawing/2014/chart" uri="{C3380CC4-5D6E-409C-BE32-E72D297353CC}">
              <c16:uniqueId val="{00000001-84F9-4493-9A47-92BB3956C61D}"/>
            </c:ext>
          </c:extLst>
        </c:ser>
        <c:dLbls>
          <c:dLblPos val="outEnd"/>
          <c:showLegendKey val="0"/>
          <c:showVal val="1"/>
          <c:showCatName val="0"/>
          <c:showSerName val="0"/>
          <c:showPercent val="0"/>
          <c:showBubbleSize val="0"/>
        </c:dLbls>
        <c:gapWidth val="219"/>
        <c:overlap val="-27"/>
        <c:axId val="493457816"/>
        <c:axId val="493456376"/>
      </c:barChart>
      <c:catAx>
        <c:axId val="493457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93456376"/>
        <c:crosses val="autoZero"/>
        <c:auto val="1"/>
        <c:lblAlgn val="ctr"/>
        <c:lblOffset val="100"/>
        <c:noMultiLvlLbl val="0"/>
      </c:catAx>
      <c:valAx>
        <c:axId val="493456376"/>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crossAx val="493457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U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49212</xdr:colOff>
      <xdr:row>4</xdr:row>
      <xdr:rowOff>46036</xdr:rowOff>
    </xdr:from>
    <xdr:to>
      <xdr:col>12</xdr:col>
      <xdr:colOff>209550</xdr:colOff>
      <xdr:row>26</xdr:row>
      <xdr:rowOff>66675</xdr:rowOff>
    </xdr:to>
    <xdr:graphicFrame macro="">
      <xdr:nvGraphicFramePr>
        <xdr:cNvPr id="3" name="Диаграмма 2">
          <a:extLst>
            <a:ext uri="{FF2B5EF4-FFF2-40B4-BE49-F238E27FC236}">
              <a16:creationId xmlns:a16="http://schemas.microsoft.com/office/drawing/2014/main" id="{8CC9B177-C296-75D3-CD97-E5B4BA8F6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84135</xdr:colOff>
      <xdr:row>30</xdr:row>
      <xdr:rowOff>93661</xdr:rowOff>
    </xdr:from>
    <xdr:to>
      <xdr:col>9</xdr:col>
      <xdr:colOff>428625</xdr:colOff>
      <xdr:row>51</xdr:row>
      <xdr:rowOff>133350</xdr:rowOff>
    </xdr:to>
    <xdr:graphicFrame macro="">
      <xdr:nvGraphicFramePr>
        <xdr:cNvPr id="4" name="Диаграмма 3">
          <a:extLst>
            <a:ext uri="{FF2B5EF4-FFF2-40B4-BE49-F238E27FC236}">
              <a16:creationId xmlns:a16="http://schemas.microsoft.com/office/drawing/2014/main" id="{1AD821A9-6FB0-CFD7-7231-CF94FDA5C9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284161</xdr:colOff>
      <xdr:row>11</xdr:row>
      <xdr:rowOff>58738</xdr:rowOff>
    </xdr:from>
    <xdr:to>
      <xdr:col>7</xdr:col>
      <xdr:colOff>714375</xdr:colOff>
      <xdr:row>31</xdr:row>
      <xdr:rowOff>104776</xdr:rowOff>
    </xdr:to>
    <xdr:graphicFrame macro="">
      <xdr:nvGraphicFramePr>
        <xdr:cNvPr id="3" name="Диаграмма 2">
          <a:extLst>
            <a:ext uri="{FF2B5EF4-FFF2-40B4-BE49-F238E27FC236}">
              <a16:creationId xmlns:a16="http://schemas.microsoft.com/office/drawing/2014/main" id="{0513FED7-7120-D7A5-7473-EEF393F69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711200</xdr:colOff>
      <xdr:row>11</xdr:row>
      <xdr:rowOff>49212</xdr:rowOff>
    </xdr:from>
    <xdr:to>
      <xdr:col>16</xdr:col>
      <xdr:colOff>47625</xdr:colOff>
      <xdr:row>31</xdr:row>
      <xdr:rowOff>114300</xdr:rowOff>
    </xdr:to>
    <xdr:graphicFrame macro="">
      <xdr:nvGraphicFramePr>
        <xdr:cNvPr id="4" name="Диаграмма 3">
          <a:extLst>
            <a:ext uri="{FF2B5EF4-FFF2-40B4-BE49-F238E27FC236}">
              <a16:creationId xmlns:a16="http://schemas.microsoft.com/office/drawing/2014/main" id="{EA8F9374-68BA-C47B-E989-29050DC4B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26986</xdr:rowOff>
    </xdr:from>
    <xdr:to>
      <xdr:col>9</xdr:col>
      <xdr:colOff>295275</xdr:colOff>
      <xdr:row>34</xdr:row>
      <xdr:rowOff>38100</xdr:rowOff>
    </xdr:to>
    <xdr:graphicFrame macro="">
      <xdr:nvGraphicFramePr>
        <xdr:cNvPr id="2" name="Диаграмма 1">
          <a:extLst>
            <a:ext uri="{FF2B5EF4-FFF2-40B4-BE49-F238E27FC236}">
              <a16:creationId xmlns:a16="http://schemas.microsoft.com/office/drawing/2014/main" id="{3123720D-E582-B1A7-519B-1AC52B580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hyperlink" Target="https://lun.ua/stat/sale/ukraine?srsltid=AfmBOoq3-JdSFvH56Z9quLG2HmLOpFAzwxr62S0y1BR2CrU_3vmcMCA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1363A-9C51-4812-93BC-30F1A0140DB1}">
  <dimension ref="A1:R19"/>
  <sheetViews>
    <sheetView workbookViewId="0">
      <selection activeCell="R1" sqref="R1"/>
    </sheetView>
  </sheetViews>
  <sheetFormatPr defaultRowHeight="14.5" x14ac:dyDescent="0.35"/>
  <cols>
    <col min="2" max="2" width="11.81640625" bestFit="1" customWidth="1"/>
    <col min="13" max="13" width="9.54296875" customWidth="1"/>
    <col min="15" max="15" width="10.36328125" customWidth="1"/>
  </cols>
  <sheetData>
    <row r="1" spans="1:18" ht="78.5" customHeight="1" x14ac:dyDescent="0.35">
      <c r="A1" s="50"/>
      <c r="B1" s="51" t="s">
        <v>20</v>
      </c>
      <c r="C1" s="51" t="s">
        <v>0</v>
      </c>
      <c r="D1" s="51" t="s">
        <v>2</v>
      </c>
      <c r="E1" s="51" t="s">
        <v>3</v>
      </c>
      <c r="F1" s="51" t="s">
        <v>4</v>
      </c>
      <c r="G1" s="51" t="s">
        <v>5</v>
      </c>
      <c r="H1" s="51" t="s">
        <v>6</v>
      </c>
      <c r="I1" s="51" t="s">
        <v>7</v>
      </c>
      <c r="J1" s="51" t="s">
        <v>8</v>
      </c>
      <c r="K1" s="51" t="s">
        <v>9</v>
      </c>
      <c r="L1" s="51" t="s">
        <v>10</v>
      </c>
      <c r="M1" s="51" t="s">
        <v>1</v>
      </c>
      <c r="N1" s="51" t="s">
        <v>21</v>
      </c>
      <c r="O1" s="51" t="s">
        <v>22</v>
      </c>
      <c r="P1" s="51" t="s">
        <v>18</v>
      </c>
      <c r="Q1" s="51" t="s">
        <v>19</v>
      </c>
      <c r="R1" s="51"/>
    </row>
    <row r="2" spans="1:18" x14ac:dyDescent="0.35">
      <c r="A2" s="3" t="s">
        <v>11</v>
      </c>
      <c r="B2" s="4">
        <v>110.9</v>
      </c>
      <c r="C2" s="4">
        <v>111.1</v>
      </c>
      <c r="D2" s="4">
        <v>101.8</v>
      </c>
      <c r="E2" s="4">
        <v>106.8</v>
      </c>
      <c r="F2" s="4">
        <v>106.1</v>
      </c>
      <c r="G2" s="4">
        <v>108.8</v>
      </c>
      <c r="H2" s="4">
        <v>115.7</v>
      </c>
      <c r="I2" s="4">
        <v>111</v>
      </c>
      <c r="J2" s="4">
        <v>104.4</v>
      </c>
      <c r="K2" s="4">
        <v>114.6</v>
      </c>
      <c r="L2" s="4">
        <v>115.3</v>
      </c>
      <c r="M2">
        <v>122.6</v>
      </c>
      <c r="N2">
        <v>122.6</v>
      </c>
      <c r="O2">
        <v>122.6</v>
      </c>
      <c r="P2">
        <v>105.4</v>
      </c>
      <c r="Q2">
        <v>105</v>
      </c>
    </row>
    <row r="3" spans="1:18" x14ac:dyDescent="0.35">
      <c r="A3" s="3" t="s">
        <v>12</v>
      </c>
      <c r="B3" s="4">
        <v>107.9</v>
      </c>
      <c r="C3" s="4">
        <v>108</v>
      </c>
      <c r="D3" s="4">
        <v>100.2</v>
      </c>
      <c r="E3" s="4">
        <v>108</v>
      </c>
      <c r="F3" s="4">
        <v>102.9</v>
      </c>
      <c r="G3" s="4">
        <v>106.7</v>
      </c>
      <c r="H3" s="4">
        <v>104.1</v>
      </c>
      <c r="I3" s="4">
        <v>115.5</v>
      </c>
      <c r="J3" s="4">
        <v>102.4</v>
      </c>
      <c r="K3" s="4">
        <v>113.4</v>
      </c>
      <c r="L3" s="4">
        <v>111.1</v>
      </c>
      <c r="M3">
        <v>106.5</v>
      </c>
      <c r="N3">
        <v>108.4</v>
      </c>
      <c r="O3">
        <v>104.7</v>
      </c>
      <c r="P3">
        <v>106.6</v>
      </c>
      <c r="Q3">
        <v>111.1</v>
      </c>
    </row>
    <row r="4" spans="1:18" x14ac:dyDescent="0.35">
      <c r="A4" s="3" t="s">
        <v>13</v>
      </c>
      <c r="B4" s="4">
        <v>102.7</v>
      </c>
      <c r="C4" s="4">
        <v>102.7</v>
      </c>
      <c r="D4" s="4">
        <v>95.4</v>
      </c>
      <c r="E4" s="4">
        <v>97</v>
      </c>
      <c r="F4" s="4">
        <v>99.3</v>
      </c>
      <c r="G4" s="4">
        <v>105.3</v>
      </c>
      <c r="H4" s="4">
        <v>98.1</v>
      </c>
      <c r="I4" s="4">
        <v>106.5</v>
      </c>
      <c r="J4" s="4">
        <v>98.2</v>
      </c>
      <c r="K4" s="4">
        <v>113.6</v>
      </c>
      <c r="L4" s="4">
        <v>105.9</v>
      </c>
      <c r="M4">
        <v>103</v>
      </c>
      <c r="N4">
        <v>104.8</v>
      </c>
      <c r="O4">
        <v>101.3</v>
      </c>
      <c r="P4">
        <v>106.9</v>
      </c>
      <c r="Q4">
        <v>109.8</v>
      </c>
    </row>
    <row r="5" spans="1:18" x14ac:dyDescent="0.35">
      <c r="A5" s="3" t="s">
        <v>14</v>
      </c>
      <c r="B5" s="4">
        <v>109.4</v>
      </c>
      <c r="C5" s="4">
        <v>110.8</v>
      </c>
      <c r="D5" s="4">
        <v>95.5</v>
      </c>
      <c r="E5" s="4">
        <v>123.2</v>
      </c>
      <c r="F5" s="4">
        <v>102.9</v>
      </c>
      <c r="G5" s="4">
        <v>106.6</v>
      </c>
      <c r="H5" s="4">
        <v>110</v>
      </c>
      <c r="I5" s="4">
        <v>105.2</v>
      </c>
      <c r="J5" s="4">
        <v>103.3</v>
      </c>
      <c r="K5" s="4">
        <v>115.3</v>
      </c>
      <c r="L5" s="4">
        <v>106.1</v>
      </c>
      <c r="M5">
        <v>114.4</v>
      </c>
      <c r="N5">
        <v>112.4</v>
      </c>
      <c r="O5">
        <v>115.9</v>
      </c>
      <c r="P5">
        <v>113.5</v>
      </c>
      <c r="Q5">
        <v>115.7</v>
      </c>
    </row>
    <row r="6" spans="1:18" x14ac:dyDescent="0.35">
      <c r="A6" s="3" t="s">
        <v>15</v>
      </c>
      <c r="B6" s="4">
        <v>120.2</v>
      </c>
      <c r="C6" s="4">
        <v>126.6</v>
      </c>
      <c r="D6" s="4">
        <v>97.3</v>
      </c>
      <c r="E6" s="4">
        <v>105.1</v>
      </c>
      <c r="F6" s="4">
        <v>116.1</v>
      </c>
      <c r="G6" s="4">
        <v>114.5</v>
      </c>
      <c r="H6" s="4">
        <v>131.80000000000001</v>
      </c>
      <c r="I6" s="4">
        <v>110.9</v>
      </c>
      <c r="J6" s="4">
        <v>110.9</v>
      </c>
      <c r="K6" s="4">
        <v>114.1</v>
      </c>
      <c r="L6" s="4">
        <v>116.1</v>
      </c>
      <c r="M6">
        <v>128.30000000000001</v>
      </c>
      <c r="N6">
        <v>127.8</v>
      </c>
      <c r="O6">
        <v>128.30000000000001</v>
      </c>
      <c r="P6">
        <v>114.6</v>
      </c>
      <c r="Q6">
        <v>112.1</v>
      </c>
    </row>
    <row r="7" spans="1:18" x14ac:dyDescent="0.35">
      <c r="A7" s="3" t="s">
        <v>16</v>
      </c>
      <c r="B7" s="4">
        <v>112.9</v>
      </c>
      <c r="C7" s="4">
        <v>114.7</v>
      </c>
      <c r="D7" s="4">
        <v>99.5</v>
      </c>
      <c r="E7" s="4">
        <v>110</v>
      </c>
      <c r="F7" s="4">
        <v>112.7</v>
      </c>
      <c r="G7" s="4">
        <v>112.8</v>
      </c>
      <c r="H7" s="4">
        <v>112.1</v>
      </c>
      <c r="I7" s="4">
        <v>107.8</v>
      </c>
      <c r="J7" s="4">
        <v>107.3</v>
      </c>
      <c r="K7" s="4">
        <v>110.7</v>
      </c>
      <c r="L7" s="4">
        <v>118.5</v>
      </c>
      <c r="M7">
        <v>115.7</v>
      </c>
      <c r="N7">
        <v>116.3</v>
      </c>
      <c r="O7">
        <v>115.5</v>
      </c>
      <c r="P7">
        <v>112.8</v>
      </c>
      <c r="Q7">
        <v>115.6</v>
      </c>
    </row>
    <row r="8" spans="1:18" x14ac:dyDescent="0.35">
      <c r="A8" s="3" t="s">
        <v>17</v>
      </c>
      <c r="B8" s="4">
        <v>106.5</v>
      </c>
      <c r="C8" s="4">
        <v>104.9</v>
      </c>
      <c r="D8" s="4">
        <v>94.5</v>
      </c>
      <c r="E8" s="4">
        <v>116.4</v>
      </c>
      <c r="F8" s="4">
        <v>100</v>
      </c>
      <c r="G8" s="4">
        <v>110.7</v>
      </c>
      <c r="H8" s="4">
        <v>107.2</v>
      </c>
      <c r="I8" s="4">
        <v>102.5</v>
      </c>
      <c r="J8" s="4">
        <v>98.7</v>
      </c>
      <c r="K8" s="4">
        <v>111.9</v>
      </c>
      <c r="L8" s="4">
        <v>111.6</v>
      </c>
      <c r="M8">
        <v>108.2</v>
      </c>
      <c r="N8">
        <v>108.6</v>
      </c>
      <c r="O8">
        <v>107.9</v>
      </c>
      <c r="P8">
        <v>115</v>
      </c>
      <c r="Q8">
        <v>111.6</v>
      </c>
    </row>
    <row r="9" spans="1:18" x14ac:dyDescent="0.35">
      <c r="A9" s="3" t="s">
        <v>81</v>
      </c>
      <c r="B9" s="4">
        <v>112.7</v>
      </c>
      <c r="C9" s="4">
        <v>117.4</v>
      </c>
      <c r="D9" s="4">
        <v>95</v>
      </c>
      <c r="E9" s="4">
        <v>108.9</v>
      </c>
      <c r="F9" s="4">
        <v>102</v>
      </c>
      <c r="G9" s="4">
        <v>111.7</v>
      </c>
      <c r="H9" s="4">
        <v>107.2</v>
      </c>
      <c r="I9" s="4">
        <v>117.1</v>
      </c>
      <c r="J9" s="4">
        <v>100.6</v>
      </c>
      <c r="K9" s="4">
        <v>113</v>
      </c>
      <c r="L9" s="4">
        <v>114.5</v>
      </c>
      <c r="M9">
        <v>106.1</v>
      </c>
      <c r="N9">
        <v>106.3</v>
      </c>
      <c r="O9">
        <v>106</v>
      </c>
      <c r="P9">
        <v>114.3</v>
      </c>
      <c r="Q9">
        <v>112</v>
      </c>
    </row>
    <row r="10" spans="1:18" x14ac:dyDescent="0.35">
      <c r="A10" s="3"/>
      <c r="B10" s="4"/>
      <c r="C10" s="4"/>
      <c r="D10" s="4"/>
      <c r="E10" s="4"/>
      <c r="F10" s="4"/>
      <c r="G10" s="4"/>
      <c r="H10" s="4"/>
      <c r="I10" s="4"/>
      <c r="J10" s="4"/>
      <c r="K10" s="4"/>
      <c r="L10" s="4"/>
    </row>
    <row r="11" spans="1:18" ht="81" x14ac:dyDescent="0.35">
      <c r="A11" s="45"/>
      <c r="B11" s="51" t="s">
        <v>20</v>
      </c>
      <c r="C11" s="51" t="s">
        <v>0</v>
      </c>
      <c r="D11" s="51" t="s">
        <v>2</v>
      </c>
      <c r="E11" s="51" t="s">
        <v>3</v>
      </c>
      <c r="F11" s="51" t="s">
        <v>4</v>
      </c>
      <c r="G11" s="51" t="s">
        <v>5</v>
      </c>
      <c r="H11" s="51" t="s">
        <v>6</v>
      </c>
      <c r="I11" s="51" t="s">
        <v>7</v>
      </c>
      <c r="J11" s="51" t="s">
        <v>8</v>
      </c>
      <c r="K11" s="51" t="s">
        <v>9</v>
      </c>
      <c r="L11" s="51" t="s">
        <v>10</v>
      </c>
      <c r="M11" s="51" t="s">
        <v>1</v>
      </c>
      <c r="N11" s="51" t="s">
        <v>21</v>
      </c>
      <c r="O11" s="51" t="s">
        <v>22</v>
      </c>
      <c r="P11" s="51" t="s">
        <v>18</v>
      </c>
      <c r="Q11" s="51" t="s">
        <v>19</v>
      </c>
    </row>
    <row r="12" spans="1:18" x14ac:dyDescent="0.35">
      <c r="A12" s="52" t="s">
        <v>11</v>
      </c>
      <c r="B12" s="45">
        <f t="shared" ref="B12:Q19" si="0">B2/100</f>
        <v>1.109</v>
      </c>
      <c r="C12" s="45">
        <f t="shared" si="0"/>
        <v>1.111</v>
      </c>
      <c r="D12" s="45">
        <f t="shared" si="0"/>
        <v>1.018</v>
      </c>
      <c r="E12" s="45">
        <f t="shared" si="0"/>
        <v>1.0680000000000001</v>
      </c>
      <c r="F12" s="45">
        <f t="shared" si="0"/>
        <v>1.0609999999999999</v>
      </c>
      <c r="G12" s="45">
        <f t="shared" si="0"/>
        <v>1.0880000000000001</v>
      </c>
      <c r="H12" s="45">
        <f t="shared" si="0"/>
        <v>1.157</v>
      </c>
      <c r="I12" s="45">
        <f t="shared" si="0"/>
        <v>1.1100000000000001</v>
      </c>
      <c r="J12" s="45">
        <f t="shared" si="0"/>
        <v>1.044</v>
      </c>
      <c r="K12" s="45">
        <f t="shared" si="0"/>
        <v>1.1459999999999999</v>
      </c>
      <c r="L12" s="45">
        <f t="shared" si="0"/>
        <v>1.153</v>
      </c>
      <c r="M12" s="45">
        <f t="shared" si="0"/>
        <v>1.226</v>
      </c>
      <c r="N12" s="45">
        <f t="shared" si="0"/>
        <v>1.226</v>
      </c>
      <c r="O12" s="45">
        <f t="shared" si="0"/>
        <v>1.226</v>
      </c>
      <c r="P12" s="45">
        <f t="shared" si="0"/>
        <v>1.054</v>
      </c>
      <c r="Q12" s="45">
        <f t="shared" si="0"/>
        <v>1.05</v>
      </c>
    </row>
    <row r="13" spans="1:18" x14ac:dyDescent="0.35">
      <c r="A13" s="52" t="s">
        <v>12</v>
      </c>
      <c r="B13" s="45">
        <f t="shared" si="0"/>
        <v>1.079</v>
      </c>
      <c r="C13" s="45">
        <f t="shared" si="0"/>
        <v>1.08</v>
      </c>
      <c r="D13" s="45">
        <f t="shared" si="0"/>
        <v>1.002</v>
      </c>
      <c r="E13" s="45">
        <f t="shared" si="0"/>
        <v>1.08</v>
      </c>
      <c r="F13" s="45">
        <f t="shared" si="0"/>
        <v>1.0290000000000001</v>
      </c>
      <c r="G13" s="45">
        <f t="shared" si="0"/>
        <v>1.0669999999999999</v>
      </c>
      <c r="H13" s="45">
        <f t="shared" si="0"/>
        <v>1.0409999999999999</v>
      </c>
      <c r="I13" s="45">
        <f t="shared" si="0"/>
        <v>1.155</v>
      </c>
      <c r="J13" s="45">
        <f t="shared" si="0"/>
        <v>1.024</v>
      </c>
      <c r="K13" s="45">
        <f t="shared" si="0"/>
        <v>1.1340000000000001</v>
      </c>
      <c r="L13" s="45">
        <f t="shared" si="0"/>
        <v>1.111</v>
      </c>
      <c r="M13" s="45">
        <f t="shared" si="0"/>
        <v>1.0649999999999999</v>
      </c>
      <c r="N13" s="45">
        <f t="shared" si="0"/>
        <v>1.0840000000000001</v>
      </c>
      <c r="O13" s="45">
        <f t="shared" si="0"/>
        <v>1.0469999999999999</v>
      </c>
      <c r="P13" s="45">
        <f t="shared" si="0"/>
        <v>1.0659999999999998</v>
      </c>
      <c r="Q13" s="45">
        <f t="shared" si="0"/>
        <v>1.111</v>
      </c>
    </row>
    <row r="14" spans="1:18" x14ac:dyDescent="0.35">
      <c r="A14" s="52" t="s">
        <v>13</v>
      </c>
      <c r="B14" s="45">
        <f t="shared" si="0"/>
        <v>1.0270000000000001</v>
      </c>
      <c r="C14" s="45">
        <f t="shared" si="0"/>
        <v>1.0270000000000001</v>
      </c>
      <c r="D14" s="45">
        <f t="shared" si="0"/>
        <v>0.95400000000000007</v>
      </c>
      <c r="E14" s="45">
        <f t="shared" si="0"/>
        <v>0.97</v>
      </c>
      <c r="F14" s="45">
        <f t="shared" si="0"/>
        <v>0.99299999999999999</v>
      </c>
      <c r="G14" s="45">
        <f t="shared" si="0"/>
        <v>1.0529999999999999</v>
      </c>
      <c r="H14" s="45">
        <f t="shared" si="0"/>
        <v>0.98099999999999998</v>
      </c>
      <c r="I14" s="45">
        <f t="shared" si="0"/>
        <v>1.0649999999999999</v>
      </c>
      <c r="J14" s="45">
        <f t="shared" si="0"/>
        <v>0.98199999999999998</v>
      </c>
      <c r="K14" s="45">
        <f t="shared" si="0"/>
        <v>1.1359999999999999</v>
      </c>
      <c r="L14" s="45">
        <f t="shared" si="0"/>
        <v>1.0590000000000002</v>
      </c>
      <c r="M14" s="45">
        <f t="shared" si="0"/>
        <v>1.03</v>
      </c>
      <c r="N14" s="45">
        <f t="shared" si="0"/>
        <v>1.048</v>
      </c>
      <c r="O14" s="45">
        <f t="shared" si="0"/>
        <v>1.0129999999999999</v>
      </c>
      <c r="P14" s="45">
        <f t="shared" si="0"/>
        <v>1.069</v>
      </c>
      <c r="Q14" s="45">
        <f t="shared" si="0"/>
        <v>1.0979999999999999</v>
      </c>
    </row>
    <row r="15" spans="1:18" x14ac:dyDescent="0.35">
      <c r="A15" s="52" t="s">
        <v>14</v>
      </c>
      <c r="B15" s="45">
        <f t="shared" si="0"/>
        <v>1.0940000000000001</v>
      </c>
      <c r="C15" s="45">
        <f t="shared" si="0"/>
        <v>1.1079999999999999</v>
      </c>
      <c r="D15" s="45">
        <f t="shared" si="0"/>
        <v>0.95499999999999996</v>
      </c>
      <c r="E15" s="45">
        <f t="shared" si="0"/>
        <v>1.232</v>
      </c>
      <c r="F15" s="45">
        <f t="shared" si="0"/>
        <v>1.0290000000000001</v>
      </c>
      <c r="G15" s="45">
        <f t="shared" si="0"/>
        <v>1.0659999999999998</v>
      </c>
      <c r="H15" s="45">
        <f t="shared" si="0"/>
        <v>1.1000000000000001</v>
      </c>
      <c r="I15" s="45">
        <f t="shared" si="0"/>
        <v>1.052</v>
      </c>
      <c r="J15" s="45">
        <f t="shared" si="0"/>
        <v>1.0329999999999999</v>
      </c>
      <c r="K15" s="45">
        <f t="shared" si="0"/>
        <v>1.153</v>
      </c>
      <c r="L15" s="45">
        <f t="shared" si="0"/>
        <v>1.0609999999999999</v>
      </c>
      <c r="M15" s="45">
        <f t="shared" si="0"/>
        <v>1.1440000000000001</v>
      </c>
      <c r="N15" s="45">
        <f t="shared" si="0"/>
        <v>1.1240000000000001</v>
      </c>
      <c r="O15" s="45">
        <f t="shared" si="0"/>
        <v>1.159</v>
      </c>
      <c r="P15" s="45">
        <f t="shared" si="0"/>
        <v>1.135</v>
      </c>
      <c r="Q15" s="45">
        <f t="shared" si="0"/>
        <v>1.157</v>
      </c>
    </row>
    <row r="16" spans="1:18" x14ac:dyDescent="0.35">
      <c r="A16" s="52" t="s">
        <v>15</v>
      </c>
      <c r="B16" s="45">
        <f t="shared" si="0"/>
        <v>1.202</v>
      </c>
      <c r="C16" s="45">
        <f t="shared" si="0"/>
        <v>1.266</v>
      </c>
      <c r="D16" s="45">
        <f t="shared" si="0"/>
        <v>0.97299999999999998</v>
      </c>
      <c r="E16" s="45">
        <f t="shared" si="0"/>
        <v>1.0509999999999999</v>
      </c>
      <c r="F16" s="45">
        <f t="shared" si="0"/>
        <v>1.161</v>
      </c>
      <c r="G16" s="45">
        <f t="shared" si="0"/>
        <v>1.145</v>
      </c>
      <c r="H16" s="45">
        <f t="shared" si="0"/>
        <v>1.3180000000000001</v>
      </c>
      <c r="I16" s="45">
        <f t="shared" si="0"/>
        <v>1.109</v>
      </c>
      <c r="J16" s="45">
        <f t="shared" si="0"/>
        <v>1.109</v>
      </c>
      <c r="K16" s="45">
        <f t="shared" si="0"/>
        <v>1.141</v>
      </c>
      <c r="L16" s="45">
        <f t="shared" si="0"/>
        <v>1.161</v>
      </c>
      <c r="M16" s="45">
        <f t="shared" si="0"/>
        <v>1.2830000000000001</v>
      </c>
      <c r="N16" s="45">
        <f t="shared" si="0"/>
        <v>1.278</v>
      </c>
      <c r="O16" s="45">
        <f t="shared" si="0"/>
        <v>1.2830000000000001</v>
      </c>
      <c r="P16" s="45">
        <f t="shared" si="0"/>
        <v>1.1459999999999999</v>
      </c>
      <c r="Q16" s="45">
        <f t="shared" si="0"/>
        <v>1.121</v>
      </c>
    </row>
    <row r="17" spans="1:17" x14ac:dyDescent="0.35">
      <c r="A17" s="52" t="s">
        <v>16</v>
      </c>
      <c r="B17" s="45">
        <f t="shared" si="0"/>
        <v>1.129</v>
      </c>
      <c r="C17" s="45">
        <f t="shared" si="0"/>
        <v>1.147</v>
      </c>
      <c r="D17" s="45">
        <f t="shared" si="0"/>
        <v>0.995</v>
      </c>
      <c r="E17" s="45">
        <f t="shared" si="0"/>
        <v>1.1000000000000001</v>
      </c>
      <c r="F17" s="45">
        <f t="shared" si="0"/>
        <v>1.127</v>
      </c>
      <c r="G17" s="45">
        <f t="shared" si="0"/>
        <v>1.1279999999999999</v>
      </c>
      <c r="H17" s="45">
        <f t="shared" si="0"/>
        <v>1.121</v>
      </c>
      <c r="I17" s="45">
        <f t="shared" si="0"/>
        <v>1.0780000000000001</v>
      </c>
      <c r="J17" s="45">
        <f t="shared" si="0"/>
        <v>1.073</v>
      </c>
      <c r="K17" s="45">
        <f t="shared" si="0"/>
        <v>1.107</v>
      </c>
      <c r="L17" s="45">
        <f t="shared" si="0"/>
        <v>1.1850000000000001</v>
      </c>
      <c r="M17" s="45">
        <f t="shared" si="0"/>
        <v>1.157</v>
      </c>
      <c r="N17" s="45">
        <f t="shared" si="0"/>
        <v>1.163</v>
      </c>
      <c r="O17" s="45">
        <f t="shared" si="0"/>
        <v>1.155</v>
      </c>
      <c r="P17" s="45">
        <f t="shared" si="0"/>
        <v>1.1279999999999999</v>
      </c>
      <c r="Q17" s="45">
        <f t="shared" si="0"/>
        <v>1.1559999999999999</v>
      </c>
    </row>
    <row r="18" spans="1:17" x14ac:dyDescent="0.35">
      <c r="A18" s="52" t="s">
        <v>17</v>
      </c>
      <c r="B18" s="45">
        <f t="shared" si="0"/>
        <v>1.0649999999999999</v>
      </c>
      <c r="C18" s="45">
        <f t="shared" si="0"/>
        <v>1.0490000000000002</v>
      </c>
      <c r="D18" s="45">
        <f t="shared" si="0"/>
        <v>0.94499999999999995</v>
      </c>
      <c r="E18" s="45">
        <f t="shared" si="0"/>
        <v>1.1640000000000001</v>
      </c>
      <c r="F18" s="45">
        <f t="shared" si="0"/>
        <v>1</v>
      </c>
      <c r="G18" s="45">
        <f t="shared" si="0"/>
        <v>1.107</v>
      </c>
      <c r="H18" s="45">
        <f t="shared" si="0"/>
        <v>1.0720000000000001</v>
      </c>
      <c r="I18" s="45">
        <f t="shared" si="0"/>
        <v>1.0249999999999999</v>
      </c>
      <c r="J18" s="45">
        <f t="shared" si="0"/>
        <v>0.98699999999999999</v>
      </c>
      <c r="K18" s="45">
        <f t="shared" si="0"/>
        <v>1.119</v>
      </c>
      <c r="L18" s="45">
        <f t="shared" si="0"/>
        <v>1.1159999999999999</v>
      </c>
      <c r="M18" s="45">
        <f t="shared" si="0"/>
        <v>1.0820000000000001</v>
      </c>
      <c r="N18" s="45">
        <f t="shared" si="0"/>
        <v>1.0859999999999999</v>
      </c>
      <c r="O18" s="45">
        <f t="shared" si="0"/>
        <v>1.079</v>
      </c>
      <c r="P18" s="45">
        <f t="shared" si="0"/>
        <v>1.1499999999999999</v>
      </c>
      <c r="Q18" s="45">
        <f t="shared" si="0"/>
        <v>1.1159999999999999</v>
      </c>
    </row>
    <row r="19" spans="1:17" x14ac:dyDescent="0.35">
      <c r="A19" s="52" t="s">
        <v>81</v>
      </c>
      <c r="B19" s="45">
        <f t="shared" si="0"/>
        <v>1.127</v>
      </c>
      <c r="C19" s="45">
        <f t="shared" si="0"/>
        <v>1.1740000000000002</v>
      </c>
      <c r="D19" s="45">
        <f t="shared" si="0"/>
        <v>0.95</v>
      </c>
      <c r="E19" s="45">
        <f t="shared" si="0"/>
        <v>1.089</v>
      </c>
      <c r="F19" s="45">
        <f t="shared" si="0"/>
        <v>1.02</v>
      </c>
      <c r="G19" s="45">
        <f t="shared" si="0"/>
        <v>1.117</v>
      </c>
      <c r="H19" s="45">
        <f t="shared" si="0"/>
        <v>1.0720000000000001</v>
      </c>
      <c r="I19" s="45">
        <f t="shared" si="0"/>
        <v>1.171</v>
      </c>
      <c r="J19" s="45">
        <f t="shared" si="0"/>
        <v>1.006</v>
      </c>
      <c r="K19" s="45">
        <f t="shared" si="0"/>
        <v>1.1299999999999999</v>
      </c>
      <c r="L19" s="45">
        <f t="shared" si="0"/>
        <v>1.145</v>
      </c>
      <c r="M19" s="45">
        <f t="shared" si="0"/>
        <v>1.0609999999999999</v>
      </c>
      <c r="N19" s="45">
        <f t="shared" si="0"/>
        <v>1.0629999999999999</v>
      </c>
      <c r="O19" s="45">
        <f t="shared" si="0"/>
        <v>1.06</v>
      </c>
      <c r="P19" s="45">
        <f t="shared" si="0"/>
        <v>1.143</v>
      </c>
      <c r="Q19" s="45">
        <f t="shared" si="0"/>
        <v>1.1200000000000001</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F000E-3A4F-48C5-8C18-A57529ABCB2C}">
  <dimension ref="A1:E9"/>
  <sheetViews>
    <sheetView workbookViewId="0">
      <selection activeCell="G3" sqref="G3"/>
    </sheetView>
  </sheetViews>
  <sheetFormatPr defaultRowHeight="14.5" x14ac:dyDescent="0.35"/>
  <cols>
    <col min="2" max="2" width="13.1796875" customWidth="1"/>
    <col min="3" max="3" width="11.7265625" customWidth="1"/>
    <col min="4" max="4" width="11.81640625" bestFit="1" customWidth="1"/>
    <col min="5" max="5" width="9.26953125" bestFit="1" customWidth="1"/>
  </cols>
  <sheetData>
    <row r="1" spans="1:5" ht="163" x14ac:dyDescent="0.35">
      <c r="A1" s="14"/>
      <c r="B1" s="6" t="s">
        <v>26</v>
      </c>
      <c r="C1" s="11" t="s">
        <v>27</v>
      </c>
      <c r="D1" s="15" t="s">
        <v>28</v>
      </c>
      <c r="E1" s="18" t="s">
        <v>29</v>
      </c>
    </row>
    <row r="2" spans="1:5" x14ac:dyDescent="0.35">
      <c r="A2" s="7">
        <v>2018</v>
      </c>
      <c r="B2" s="8">
        <f>12873616</f>
        <v>12873616</v>
      </c>
      <c r="C2" s="12">
        <v>3832437</v>
      </c>
      <c r="D2" s="16">
        <v>8689356</v>
      </c>
      <c r="E2" s="12">
        <v>2908378</v>
      </c>
    </row>
    <row r="3" spans="1:5" x14ac:dyDescent="0.35">
      <c r="A3" s="9">
        <v>2019</v>
      </c>
      <c r="B3" s="10">
        <v>14700707</v>
      </c>
      <c r="C3" s="13">
        <v>5307329</v>
      </c>
      <c r="D3" s="17">
        <v>11029327</v>
      </c>
      <c r="E3" s="19">
        <v>3962270</v>
      </c>
    </row>
    <row r="4" spans="1:5" x14ac:dyDescent="0.35">
      <c r="A4" s="9">
        <v>2020</v>
      </c>
      <c r="B4" s="10">
        <v>7514310</v>
      </c>
      <c r="C4" s="13">
        <v>3791885</v>
      </c>
      <c r="D4" s="17">
        <v>8451221</v>
      </c>
      <c r="E4" s="19">
        <v>3444193</v>
      </c>
    </row>
    <row r="5" spans="1:5" x14ac:dyDescent="0.35">
      <c r="A5" s="9">
        <v>2021</v>
      </c>
      <c r="B5" s="10">
        <v>12714908</v>
      </c>
      <c r="C5" s="13">
        <v>6241656</v>
      </c>
      <c r="D5" s="17">
        <v>11433790</v>
      </c>
      <c r="E5" s="19">
        <v>4948874</v>
      </c>
    </row>
    <row r="6" spans="1:5" x14ac:dyDescent="0.35">
      <c r="A6" s="9">
        <v>2022</v>
      </c>
      <c r="B6" s="10">
        <v>6668984</v>
      </c>
      <c r="C6" s="13">
        <v>2538074</v>
      </c>
      <c r="D6" s="17">
        <v>7110224</v>
      </c>
      <c r="E6" s="19">
        <v>2493070</v>
      </c>
    </row>
    <row r="7" spans="1:5" x14ac:dyDescent="0.35">
      <c r="A7" s="9">
        <v>2023</v>
      </c>
      <c r="B7" s="10">
        <v>4205318</v>
      </c>
      <c r="C7" s="13">
        <v>2866693</v>
      </c>
      <c r="D7" s="17">
        <v>7380752</v>
      </c>
      <c r="E7" s="20">
        <v>2340350</v>
      </c>
    </row>
    <row r="8" spans="1:5" x14ac:dyDescent="0.35">
      <c r="A8" s="9">
        <v>2024</v>
      </c>
      <c r="B8" s="10">
        <v>3903400</v>
      </c>
      <c r="C8" s="13">
        <v>4414153</v>
      </c>
      <c r="D8" s="17">
        <v>9758881</v>
      </c>
      <c r="E8" s="20">
        <v>2690954</v>
      </c>
    </row>
    <row r="9" spans="1:5" x14ac:dyDescent="0.35">
      <c r="A9" s="9">
        <v>2025</v>
      </c>
      <c r="B9">
        <v>5829884</v>
      </c>
      <c r="C9">
        <v>4140865</v>
      </c>
      <c r="D9" s="20">
        <v>9552933</v>
      </c>
      <c r="E9" s="20">
        <v>3268408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D5D62-A8AD-41B2-B3D5-9F9577D8EC0B}">
  <dimension ref="A1:Q29"/>
  <sheetViews>
    <sheetView topLeftCell="A31" workbookViewId="0">
      <selection activeCell="H60" sqref="H60"/>
    </sheetView>
  </sheetViews>
  <sheetFormatPr defaultRowHeight="14.5" x14ac:dyDescent="0.35"/>
  <cols>
    <col min="5" max="5" width="13.6328125" customWidth="1"/>
    <col min="6" max="6" width="11" customWidth="1"/>
    <col min="17" max="17" width="15.6328125" customWidth="1"/>
  </cols>
  <sheetData>
    <row r="1" spans="1:17" ht="81" x14ac:dyDescent="0.35">
      <c r="B1" s="1" t="s">
        <v>20</v>
      </c>
      <c r="C1" s="1" t="s">
        <v>0</v>
      </c>
      <c r="D1" s="1" t="s">
        <v>2</v>
      </c>
      <c r="E1" s="1" t="s">
        <v>3</v>
      </c>
      <c r="F1" s="1" t="s">
        <v>4</v>
      </c>
      <c r="G1" s="1" t="s">
        <v>5</v>
      </c>
      <c r="H1" s="1" t="s">
        <v>6</v>
      </c>
      <c r="I1" s="1" t="s">
        <v>7</v>
      </c>
      <c r="J1" s="1" t="s">
        <v>8</v>
      </c>
      <c r="K1" s="1" t="s">
        <v>9</v>
      </c>
      <c r="L1" s="1" t="s">
        <v>10</v>
      </c>
      <c r="M1" s="2" t="s">
        <v>23</v>
      </c>
      <c r="N1" s="2" t="s">
        <v>21</v>
      </c>
      <c r="O1" s="2" t="s">
        <v>22</v>
      </c>
      <c r="P1" s="2" t="s">
        <v>18</v>
      </c>
      <c r="Q1" s="2" t="s">
        <v>19</v>
      </c>
    </row>
    <row r="2" spans="1:17" ht="27" x14ac:dyDescent="0.35">
      <c r="A2" s="3" t="s">
        <v>82</v>
      </c>
      <c r="B2" s="5">
        <f>'Rawdata_Index '!B12*'Rawdata_Index '!B13*'Rawdata_Index '!B14*'Rawdata_Index '!B15*'Rawdata_Index '!B16*'Rawdata_Index '!B17*'Rawdata_Index '!B18*'Rawdata_Index '!B19</f>
        <v>2.1898415400959461</v>
      </c>
      <c r="C2" s="5">
        <f>'Rawdata_Index '!C12*'Rawdata_Index '!C13*'Rawdata_Index '!C14*'Rawdata_Index '!C15*'Rawdata_Index '!C16*'Rawdata_Index '!C17*'Rawdata_Index '!C18*'Rawdata_Index '!C19</f>
        <v>2.4416798944790234</v>
      </c>
      <c r="D2" s="5">
        <f>'Rawdata_Index '!D12*'Rawdata_Index '!D13*'Rawdata_Index '!D14*'Rawdata_Index '!D15*'Rawdata_Index '!D16*'Rawdata_Index '!D17*'Rawdata_Index '!D18*'Rawdata_Index '!D19</f>
        <v>0.80771580425414213</v>
      </c>
      <c r="E2" s="5">
        <f>'Rawdata_Index '!E12*'Rawdata_Index '!E13*'Rawdata_Index '!E14*'Rawdata_Index '!E15*'Rawdata_Index '!E16*'Rawdata_Index '!E17*'Rawdata_Index '!E18*'Rawdata_Index '!E19</f>
        <v>2.020010893580003</v>
      </c>
      <c r="F2" s="5">
        <f>'Rawdata_Index '!F12*'Rawdata_Index '!F13*'Rawdata_Index '!F14*'Rawdata_Index '!F15*'Rawdata_Index '!F16*'Rawdata_Index '!F17*'Rawdata_Index '!F18*'Rawdata_Index '!F19</f>
        <v>1.4888525512832429</v>
      </c>
      <c r="G2" s="5">
        <f>'Rawdata_Index '!G12*'Rawdata_Index '!G13*'Rawdata_Index '!G14*'Rawdata_Index '!G15*'Rawdata_Index '!G16*'Rawdata_Index '!G17*'Rawdata_Index '!G18*'Rawdata_Index '!G19</f>
        <v>2.0811063337693598</v>
      </c>
      <c r="H2" s="5">
        <f>'Rawdata_Index '!H12*'Rawdata_Index '!H13*'Rawdata_Index '!H14*'Rawdata_Index '!H15*'Rawdata_Index '!H16*'Rawdata_Index '!H17*'Rawdata_Index '!H18*'Rawdata_Index '!H19</f>
        <v>2.2067664597269658</v>
      </c>
      <c r="I2" s="5">
        <f>'Rawdata_Index '!I12*'Rawdata_Index '!I13*'Rawdata_Index '!I14*'Rawdata_Index '!I15*'Rawdata_Index '!I16*'Rawdata_Index '!I17*'Rawdata_Index '!I18*'Rawdata_Index '!I19</f>
        <v>2.0611109856279266</v>
      </c>
      <c r="J2" s="5">
        <f>'Rawdata_Index '!J12*'Rawdata_Index '!J13*'Rawdata_Index '!J14*'Rawdata_Index '!J15*'Rawdata_Index '!J16*'Rawdata_Index '!J17*'Rawdata_Index '!J18*'Rawdata_Index '!J19</f>
        <v>1.2813231304924875</v>
      </c>
      <c r="K2" s="5">
        <f>'Rawdata_Index '!K12*'Rawdata_Index '!K13*'Rawdata_Index '!K14*'Rawdata_Index '!K15*'Rawdata_Index '!K16*'Rawdata_Index '!K17*'Rawdata_Index '!K18*'Rawdata_Index '!K19</f>
        <v>2.7186112276385268</v>
      </c>
      <c r="L2" s="5">
        <f>'Rawdata_Index '!L12*'Rawdata_Index '!L13*'Rawdata_Index '!L14*'Rawdata_Index '!L15*'Rawdata_Index '!L16*'Rawdata_Index '!L17*'Rawdata_Index '!L18*'Rawdata_Index '!L19</f>
        <v>2.5303171648008891</v>
      </c>
      <c r="M2" s="5">
        <f>'Rawdata_Index '!M12*'Rawdata_Index '!M13*'Rawdata_Index '!M14*'Rawdata_Index '!M15*'Rawdata_Index '!M16*'Rawdata_Index '!M17*'Rawdata_Index '!M18*'Rawdata_Index '!M19</f>
        <v>2.6218388055336734</v>
      </c>
      <c r="N2" s="5">
        <f>'Rawdata_Index '!N12*'Rawdata_Index '!N13*'Rawdata_Index '!N14*'Rawdata_Index '!N15*'Rawdata_Index '!N16*'Rawdata_Index '!N17*'Rawdata_Index '!N18*'Rawdata_Index '!N19</f>
        <v>2.6860927496223699</v>
      </c>
      <c r="O2" s="5">
        <f>'Rawdata_Index '!O12*'Rawdata_Index '!O13*'Rawdata_Index '!O14*'Rawdata_Index '!O15*'Rawdata_Index '!O16*'Rawdata_Index '!O17*'Rawdata_Index '!O18*'Rawdata_Index '!O19</f>
        <v>2.5542651838976997</v>
      </c>
      <c r="P2" s="5">
        <f>'Rawdata_Index '!P12*'Rawdata_Index '!P13*'Rawdata_Index '!P14*'Rawdata_Index '!P15*'Rawdata_Index '!P16*'Rawdata_Index '!P17*'Rawdata_Index '!P18*'Rawdata_Index '!P19</f>
        <v>2.3163766068543947</v>
      </c>
      <c r="Q2" s="5">
        <f>'Rawdata_Index '!Q12*'Rawdata_Index '!Q13*'Rawdata_Index '!Q14*'Rawdata_Index '!Q15*'Rawdata_Index '!Q16*'Rawdata_Index '!Q17*'Rawdata_Index '!Q18*'Rawdata_Index '!Q19</f>
        <v>2.4004060960609723</v>
      </c>
    </row>
    <row r="28" spans="1:6" ht="40.5" x14ac:dyDescent="0.35">
      <c r="B28" s="2" t="s">
        <v>23</v>
      </c>
      <c r="C28" s="2" t="s">
        <v>21</v>
      </c>
      <c r="D28" s="2" t="s">
        <v>22</v>
      </c>
      <c r="E28" s="2" t="s">
        <v>25</v>
      </c>
      <c r="F28" s="2" t="s">
        <v>24</v>
      </c>
    </row>
    <row r="29" spans="1:6" ht="27" x14ac:dyDescent="0.35">
      <c r="A29" s="3" t="s">
        <v>83</v>
      </c>
      <c r="B29" s="5">
        <f>M2</f>
        <v>2.6218388055336734</v>
      </c>
      <c r="C29" s="5">
        <f t="shared" ref="C29:F29" si="0">N2</f>
        <v>2.6860927496223699</v>
      </c>
      <c r="D29" s="5">
        <f t="shared" si="0"/>
        <v>2.5542651838976997</v>
      </c>
      <c r="E29" s="5">
        <f t="shared" si="0"/>
        <v>2.3163766068543947</v>
      </c>
      <c r="F29" s="5">
        <f t="shared" si="0"/>
        <v>2.4004060960609723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94551-07E2-4C41-BF8C-4D254964C410}">
  <dimension ref="A1:J43"/>
  <sheetViews>
    <sheetView workbookViewId="0">
      <selection sqref="A1:J9"/>
    </sheetView>
  </sheetViews>
  <sheetFormatPr defaultRowHeight="14.5" x14ac:dyDescent="0.35"/>
  <cols>
    <col min="2" max="2" width="24.26953125" customWidth="1"/>
    <col min="3" max="3" width="22.08984375" customWidth="1"/>
    <col min="8" max="8" width="19.90625" customWidth="1"/>
    <col min="9" max="9" width="18.453125" customWidth="1"/>
    <col min="10" max="10" width="18.08984375" customWidth="1"/>
  </cols>
  <sheetData>
    <row r="1" spans="1:10" ht="99.5" customHeight="1" x14ac:dyDescent="0.35">
      <c r="A1" s="14"/>
      <c r="B1" s="6" t="s">
        <v>26</v>
      </c>
      <c r="C1" s="11" t="s">
        <v>27</v>
      </c>
      <c r="H1" s="14"/>
      <c r="I1" s="15" t="s">
        <v>28</v>
      </c>
      <c r="J1" s="18" t="s">
        <v>29</v>
      </c>
    </row>
    <row r="2" spans="1:10" x14ac:dyDescent="0.35">
      <c r="A2" s="7">
        <v>2018</v>
      </c>
      <c r="B2" s="25">
        <f>'Rawdata m2'!B2/1000</f>
        <v>12873.616</v>
      </c>
      <c r="C2" s="25">
        <f>'Rawdata m2'!C2/1000</f>
        <v>3832.4369999999999</v>
      </c>
      <c r="H2" s="7">
        <v>2018</v>
      </c>
      <c r="I2" s="26">
        <f>'Rawdata m2'!D2/1000</f>
        <v>8689.3559999999998</v>
      </c>
      <c r="J2" s="26">
        <f>'Rawdata m2'!E2/1000</f>
        <v>2908.3780000000002</v>
      </c>
    </row>
    <row r="3" spans="1:10" x14ac:dyDescent="0.35">
      <c r="A3" s="9">
        <v>2019</v>
      </c>
      <c r="B3" s="25">
        <f>'Rawdata m2'!B3/1000</f>
        <v>14700.707</v>
      </c>
      <c r="C3" s="25">
        <f>'Rawdata m2'!C3/1000</f>
        <v>5307.3289999999997</v>
      </c>
      <c r="H3" s="9">
        <v>2019</v>
      </c>
      <c r="I3" s="26">
        <f>'Rawdata m2'!D3/1000</f>
        <v>11029.326999999999</v>
      </c>
      <c r="J3" s="26">
        <f>'Rawdata m2'!E3/1000</f>
        <v>3962.27</v>
      </c>
    </row>
    <row r="4" spans="1:10" x14ac:dyDescent="0.35">
      <c r="A4" s="9">
        <v>2020</v>
      </c>
      <c r="B4" s="25">
        <f>'Rawdata m2'!B4/1000</f>
        <v>7514.31</v>
      </c>
      <c r="C4" s="25">
        <f>'Rawdata m2'!C4/1000</f>
        <v>3791.8850000000002</v>
      </c>
      <c r="H4" s="9">
        <v>2020</v>
      </c>
      <c r="I4" s="26">
        <f>'Rawdata m2'!D4/1000</f>
        <v>8451.2209999999995</v>
      </c>
      <c r="J4" s="26">
        <f>'Rawdata m2'!E4/1000</f>
        <v>3444.1930000000002</v>
      </c>
    </row>
    <row r="5" spans="1:10" x14ac:dyDescent="0.35">
      <c r="A5" s="9">
        <v>2021</v>
      </c>
      <c r="B5" s="25">
        <f>'Rawdata m2'!B5/1000</f>
        <v>12714.907999999999</v>
      </c>
      <c r="C5" s="25">
        <f>'Rawdata m2'!C5/1000</f>
        <v>6241.6559999999999</v>
      </c>
      <c r="H5" s="9">
        <v>2021</v>
      </c>
      <c r="I5" s="26">
        <f>'Rawdata m2'!D5/1000</f>
        <v>11433.79</v>
      </c>
      <c r="J5" s="26">
        <f>'Rawdata m2'!E5/1000</f>
        <v>4948.8739999999998</v>
      </c>
    </row>
    <row r="6" spans="1:10" x14ac:dyDescent="0.35">
      <c r="A6" s="9">
        <v>2022</v>
      </c>
      <c r="B6" s="25">
        <f>'Rawdata m2'!B6/1000</f>
        <v>6668.9840000000004</v>
      </c>
      <c r="C6" s="25">
        <f>'Rawdata m2'!C6/1000</f>
        <v>2538.0740000000001</v>
      </c>
      <c r="H6" s="9">
        <v>2022</v>
      </c>
      <c r="I6" s="26">
        <f>'Rawdata m2'!D6/1000</f>
        <v>7110.2240000000002</v>
      </c>
      <c r="J6" s="26">
        <f>'Rawdata m2'!E6/1000</f>
        <v>2493.0700000000002</v>
      </c>
    </row>
    <row r="7" spans="1:10" x14ac:dyDescent="0.35">
      <c r="A7" s="9">
        <v>2023</v>
      </c>
      <c r="B7" s="25">
        <f>'Rawdata m2'!B7/1000</f>
        <v>4205.3180000000002</v>
      </c>
      <c r="C7" s="25">
        <f>'Rawdata m2'!C7/1000</f>
        <v>2866.6930000000002</v>
      </c>
      <c r="H7" s="9">
        <v>2023</v>
      </c>
      <c r="I7" s="26">
        <f>'Rawdata m2'!D7/1000</f>
        <v>7380.7520000000004</v>
      </c>
      <c r="J7" s="26">
        <f>'Rawdata m2'!E7/1000</f>
        <v>2340.35</v>
      </c>
    </row>
    <row r="8" spans="1:10" x14ac:dyDescent="0.35">
      <c r="A8" s="9">
        <v>2024</v>
      </c>
      <c r="B8" s="25">
        <f>'Rawdata m2'!B8/1000</f>
        <v>3903.4</v>
      </c>
      <c r="C8" s="25">
        <f>'Rawdata m2'!C8/1000</f>
        <v>4414.1530000000002</v>
      </c>
      <c r="H8" s="9">
        <v>2024</v>
      </c>
      <c r="I8" s="26">
        <f>'Rawdata m2'!D8/1000</f>
        <v>9758.8809999999994</v>
      </c>
      <c r="J8" s="26">
        <f>'Rawdata m2'!E8/1000</f>
        <v>2690.9540000000002</v>
      </c>
    </row>
    <row r="9" spans="1:10" x14ac:dyDescent="0.35">
      <c r="A9" s="9">
        <v>2025</v>
      </c>
      <c r="B9" s="25">
        <f>'Rawdata m2'!B9/1000</f>
        <v>5829.884</v>
      </c>
      <c r="C9" s="25">
        <f>'Rawdata m2'!C9/1000</f>
        <v>4140.8649999999998</v>
      </c>
      <c r="H9" s="9">
        <v>2025</v>
      </c>
      <c r="I9" s="26">
        <v>9553</v>
      </c>
      <c r="J9" s="26">
        <v>3268</v>
      </c>
    </row>
    <row r="43" spans="9:9" x14ac:dyDescent="0.35">
      <c r="I43" s="2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92E9A-0805-4896-8701-8176C896004E}">
  <dimension ref="B2"/>
  <sheetViews>
    <sheetView tabSelected="1" workbookViewId="0">
      <selection activeCell="B2" sqref="B2"/>
    </sheetView>
  </sheetViews>
  <sheetFormatPr defaultRowHeight="14.5" x14ac:dyDescent="0.35"/>
  <sheetData>
    <row r="2" spans="2:2" x14ac:dyDescent="0.35">
      <c r="B2" t="s">
        <v>925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568E3-BDC8-40B9-9217-BD645D69AE55}">
  <dimension ref="A1:J10"/>
  <sheetViews>
    <sheetView topLeftCell="A3" workbookViewId="0">
      <selection activeCell="K25" sqref="K25"/>
    </sheetView>
  </sheetViews>
  <sheetFormatPr defaultRowHeight="14.5" x14ac:dyDescent="0.35"/>
  <cols>
    <col min="2" max="2" width="17.7265625" customWidth="1"/>
    <col min="3" max="3" width="18.1796875" customWidth="1"/>
    <col min="9" max="9" width="18.26953125" customWidth="1"/>
    <col min="10" max="10" width="13" customWidth="1"/>
  </cols>
  <sheetData>
    <row r="1" spans="1:10" x14ac:dyDescent="0.35">
      <c r="A1" s="28"/>
      <c r="B1" s="30" t="s">
        <v>31</v>
      </c>
      <c r="C1" s="32" t="s">
        <v>30</v>
      </c>
      <c r="H1" s="28"/>
      <c r="I1" s="30"/>
      <c r="J1" s="32"/>
    </row>
    <row r="2" spans="1:10" ht="94.5" customHeight="1" x14ac:dyDescent="0.35">
      <c r="A2" s="29"/>
      <c r="B2" s="31"/>
      <c r="C2" s="33"/>
      <c r="H2" s="29"/>
      <c r="I2" s="31"/>
      <c r="J2" s="33"/>
    </row>
    <row r="3" spans="1:10" x14ac:dyDescent="0.35">
      <c r="A3" s="9">
        <v>2018</v>
      </c>
      <c r="B3" s="17">
        <v>166991</v>
      </c>
      <c r="C3" s="22">
        <v>103141</v>
      </c>
      <c r="H3" s="9"/>
      <c r="I3" s="17"/>
      <c r="J3" s="22"/>
    </row>
    <row r="4" spans="1:10" x14ac:dyDescent="0.35">
      <c r="A4" s="9">
        <v>2019</v>
      </c>
      <c r="B4" s="21">
        <v>188964</v>
      </c>
      <c r="C4" s="19">
        <v>125986</v>
      </c>
      <c r="H4" s="9"/>
      <c r="I4" s="21"/>
      <c r="J4" s="19"/>
    </row>
    <row r="5" spans="1:10" x14ac:dyDescent="0.35">
      <c r="A5" s="9">
        <v>2020</v>
      </c>
      <c r="B5" s="21">
        <v>112109</v>
      </c>
      <c r="C5" s="23">
        <v>96504</v>
      </c>
      <c r="H5" s="9"/>
      <c r="I5" s="21"/>
      <c r="J5" s="23"/>
    </row>
    <row r="6" spans="1:10" x14ac:dyDescent="0.35">
      <c r="A6" s="9">
        <v>2021</v>
      </c>
      <c r="B6" s="21">
        <v>170754</v>
      </c>
      <c r="C6" s="23">
        <v>151720</v>
      </c>
      <c r="H6" s="9"/>
      <c r="I6" s="21"/>
      <c r="J6" s="23"/>
    </row>
    <row r="7" spans="1:10" x14ac:dyDescent="0.35">
      <c r="A7" s="9">
        <v>2022</v>
      </c>
      <c r="B7" s="21">
        <v>98386</v>
      </c>
      <c r="C7" s="23">
        <v>92593</v>
      </c>
      <c r="H7" s="9"/>
      <c r="I7" s="21"/>
      <c r="J7" s="23"/>
    </row>
    <row r="8" spans="1:10" x14ac:dyDescent="0.35">
      <c r="A8" s="9">
        <v>2023</v>
      </c>
      <c r="B8" s="21">
        <v>66831</v>
      </c>
      <c r="C8" s="23">
        <v>89255</v>
      </c>
      <c r="H8" s="9"/>
      <c r="I8" s="21"/>
      <c r="J8" s="23"/>
    </row>
    <row r="9" spans="1:10" x14ac:dyDescent="0.35">
      <c r="A9" s="9">
        <v>2024</v>
      </c>
      <c r="B9" s="21">
        <v>69294</v>
      </c>
      <c r="C9" s="23">
        <v>118452</v>
      </c>
      <c r="H9" s="9"/>
      <c r="I9" s="21"/>
      <c r="J9" s="23"/>
    </row>
    <row r="10" spans="1:10" x14ac:dyDescent="0.35">
      <c r="A10" s="9">
        <v>2025</v>
      </c>
      <c r="B10" s="21">
        <v>97078</v>
      </c>
      <c r="C10" s="23">
        <v>117578</v>
      </c>
    </row>
  </sheetData>
  <mergeCells count="6">
    <mergeCell ref="H1:H2"/>
    <mergeCell ref="I1:I2"/>
    <mergeCell ref="J1:J2"/>
    <mergeCell ref="A1:A2"/>
    <mergeCell ref="B1:B2"/>
    <mergeCell ref="C1:C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7E628-61E5-4A09-8B3C-DC545ECAE995}">
  <dimension ref="A1:G35"/>
  <sheetViews>
    <sheetView zoomScale="70" zoomScaleNormal="70" workbookViewId="0">
      <selection activeCell="C29" sqref="C29"/>
    </sheetView>
  </sheetViews>
  <sheetFormatPr defaultRowHeight="14.5" x14ac:dyDescent="0.35"/>
  <cols>
    <col min="1" max="1" width="40.1796875" customWidth="1"/>
    <col min="2" max="2" width="34.1796875" customWidth="1"/>
    <col min="3" max="3" width="36" customWidth="1"/>
  </cols>
  <sheetData>
    <row r="1" spans="1:7" ht="41" customHeight="1" x14ac:dyDescent="0.35">
      <c r="A1" s="57" t="s">
        <v>64</v>
      </c>
      <c r="B1" s="58"/>
      <c r="C1" s="58"/>
    </row>
    <row r="2" spans="1:7" x14ac:dyDescent="0.35">
      <c r="A2" s="59"/>
      <c r="B2" s="59"/>
      <c r="C2" s="59"/>
    </row>
    <row r="3" spans="1:7" ht="19.5" x14ac:dyDescent="0.35">
      <c r="A3" s="60" t="s">
        <v>32</v>
      </c>
      <c r="B3" s="60" t="s">
        <v>33</v>
      </c>
      <c r="C3" s="60" t="s">
        <v>34</v>
      </c>
      <c r="G3" t="s">
        <v>53</v>
      </c>
    </row>
    <row r="4" spans="1:7" ht="19.5" x14ac:dyDescent="0.35">
      <c r="A4" s="61">
        <v>2010</v>
      </c>
      <c r="B4" s="62" t="s">
        <v>35</v>
      </c>
      <c r="C4" s="62"/>
      <c r="G4" t="s">
        <v>54</v>
      </c>
    </row>
    <row r="5" spans="1:7" ht="19.5" x14ac:dyDescent="0.35">
      <c r="A5" s="61">
        <v>2011</v>
      </c>
      <c r="B5" s="62" t="s">
        <v>36</v>
      </c>
      <c r="C5" s="62"/>
    </row>
    <row r="6" spans="1:7" ht="19.5" x14ac:dyDescent="0.35">
      <c r="A6" s="61">
        <v>2012</v>
      </c>
      <c r="B6" s="62" t="s">
        <v>37</v>
      </c>
      <c r="C6" s="62"/>
      <c r="G6" t="s">
        <v>56</v>
      </c>
    </row>
    <row r="7" spans="1:7" ht="19.5" x14ac:dyDescent="0.35">
      <c r="A7" s="61">
        <v>2013</v>
      </c>
      <c r="B7" s="62" t="s">
        <v>38</v>
      </c>
      <c r="C7" s="62"/>
    </row>
    <row r="8" spans="1:7" ht="19.5" x14ac:dyDescent="0.35">
      <c r="A8" s="63">
        <v>2014</v>
      </c>
      <c r="B8" s="64" t="s">
        <v>39</v>
      </c>
      <c r="C8" s="64" t="s">
        <v>84</v>
      </c>
      <c r="G8" t="s">
        <v>57</v>
      </c>
    </row>
    <row r="9" spans="1:7" ht="19.5" x14ac:dyDescent="0.35">
      <c r="A9" s="65">
        <v>2015</v>
      </c>
      <c r="B9" s="66" t="s">
        <v>40</v>
      </c>
      <c r="C9" s="66"/>
    </row>
    <row r="10" spans="1:7" ht="19.5" x14ac:dyDescent="0.35">
      <c r="A10" s="63">
        <v>2016</v>
      </c>
      <c r="B10" s="64" t="s">
        <v>39</v>
      </c>
      <c r="C10" s="64"/>
      <c r="G10" t="s">
        <v>58</v>
      </c>
    </row>
    <row r="11" spans="1:7" ht="19.5" x14ac:dyDescent="0.35">
      <c r="A11" s="63">
        <v>2017</v>
      </c>
      <c r="B11" s="64" t="s">
        <v>41</v>
      </c>
      <c r="C11" s="64"/>
    </row>
    <row r="12" spans="1:7" ht="19.5" x14ac:dyDescent="0.35">
      <c r="A12" s="63">
        <v>2018</v>
      </c>
      <c r="B12" s="64" t="s">
        <v>42</v>
      </c>
      <c r="C12" s="64"/>
      <c r="E12" s="45"/>
      <c r="G12" t="s">
        <v>55</v>
      </c>
    </row>
    <row r="13" spans="1:7" ht="19.5" x14ac:dyDescent="0.35">
      <c r="A13" s="61">
        <v>2019</v>
      </c>
      <c r="B13" s="62" t="s">
        <v>35</v>
      </c>
      <c r="C13" s="62" t="s">
        <v>43</v>
      </c>
      <c r="E13" s="45"/>
    </row>
    <row r="14" spans="1:7" ht="19.5" x14ac:dyDescent="0.35">
      <c r="A14" s="63">
        <v>2020</v>
      </c>
      <c r="B14" s="64" t="s">
        <v>44</v>
      </c>
      <c r="C14" s="64" t="s">
        <v>63</v>
      </c>
      <c r="E14" s="45"/>
      <c r="G14" t="s">
        <v>59</v>
      </c>
    </row>
    <row r="15" spans="1:7" ht="19.5" x14ac:dyDescent="0.35">
      <c r="A15" s="67">
        <v>2021</v>
      </c>
      <c r="B15" s="68" t="s">
        <v>45</v>
      </c>
      <c r="C15" s="68" t="s">
        <v>46</v>
      </c>
      <c r="E15" s="45"/>
    </row>
    <row r="16" spans="1:7" ht="19.5" x14ac:dyDescent="0.35">
      <c r="A16" s="69">
        <v>2022</v>
      </c>
      <c r="B16" s="70" t="s">
        <v>47</v>
      </c>
      <c r="C16" s="70" t="s">
        <v>48</v>
      </c>
      <c r="E16" s="45"/>
      <c r="G16" s="24" t="s">
        <v>59</v>
      </c>
    </row>
    <row r="17" spans="1:7" ht="19.5" x14ac:dyDescent="0.35">
      <c r="A17" s="65">
        <v>2023</v>
      </c>
      <c r="B17" s="66" t="s">
        <v>49</v>
      </c>
      <c r="C17" s="66"/>
      <c r="E17" s="45"/>
      <c r="G17" t="s">
        <v>60</v>
      </c>
    </row>
    <row r="18" spans="1:7" ht="19.5" x14ac:dyDescent="0.35">
      <c r="A18" s="67">
        <v>2024</v>
      </c>
      <c r="B18" s="68" t="s">
        <v>50</v>
      </c>
      <c r="C18" s="68" t="s">
        <v>65</v>
      </c>
      <c r="E18" s="45"/>
      <c r="G18" t="s">
        <v>61</v>
      </c>
    </row>
    <row r="19" spans="1:7" ht="19.5" x14ac:dyDescent="0.35">
      <c r="A19" s="63">
        <v>2025</v>
      </c>
      <c r="B19" s="64" t="s">
        <v>51</v>
      </c>
      <c r="C19" s="64" t="s">
        <v>52</v>
      </c>
      <c r="E19" s="45"/>
      <c r="G19" t="s">
        <v>55</v>
      </c>
    </row>
    <row r="20" spans="1:7" ht="19.5" x14ac:dyDescent="0.45">
      <c r="A20" s="71"/>
      <c r="B20" s="71"/>
      <c r="C20" s="71"/>
      <c r="E20" s="45"/>
    </row>
    <row r="21" spans="1:7" x14ac:dyDescent="0.35">
      <c r="E21" s="45"/>
      <c r="G21" t="s">
        <v>62</v>
      </c>
    </row>
    <row r="22" spans="1:7" x14ac:dyDescent="0.35">
      <c r="E22" s="45"/>
    </row>
    <row r="23" spans="1:7" x14ac:dyDescent="0.35">
      <c r="E23" s="45"/>
    </row>
    <row r="24" spans="1:7" x14ac:dyDescent="0.35">
      <c r="E24" s="45"/>
    </row>
    <row r="25" spans="1:7" x14ac:dyDescent="0.35">
      <c r="E25" s="45"/>
    </row>
    <row r="26" spans="1:7" x14ac:dyDescent="0.35">
      <c r="E26" s="45"/>
    </row>
    <row r="27" spans="1:7" x14ac:dyDescent="0.35">
      <c r="E27" s="45"/>
    </row>
    <row r="28" spans="1:7" x14ac:dyDescent="0.35">
      <c r="E28" s="45"/>
    </row>
    <row r="29" spans="1:7" x14ac:dyDescent="0.35">
      <c r="E29" s="45"/>
    </row>
    <row r="30" spans="1:7" x14ac:dyDescent="0.35">
      <c r="E30" s="45"/>
    </row>
    <row r="31" spans="1:7" x14ac:dyDescent="0.35">
      <c r="E31" s="45"/>
    </row>
    <row r="32" spans="1:7" x14ac:dyDescent="0.35">
      <c r="E32" s="45"/>
    </row>
    <row r="33" spans="5:5" x14ac:dyDescent="0.35">
      <c r="E33" s="45"/>
    </row>
    <row r="34" spans="5:5" x14ac:dyDescent="0.35">
      <c r="E34" s="45"/>
    </row>
    <row r="35" spans="5:5" x14ac:dyDescent="0.35">
      <c r="E35" s="45"/>
    </row>
  </sheetData>
  <mergeCells count="1">
    <mergeCell ref="A1:C2"/>
  </mergeCells>
  <conditionalFormatting sqref="B3:B19">
    <cfRule type="colorScale" priority="1">
      <colorScale>
        <cfvo type="min"/>
        <cfvo type="percentile" val="50"/>
        <cfvo type="max"/>
        <color rgb="FFF8696B"/>
        <color rgb="FFFFEB84"/>
        <color rgb="FF63BE7B"/>
      </colorScale>
    </cfRule>
  </conditionalFormatting>
  <hyperlinks>
    <hyperlink ref="G16" r:id="rId1" xr:uid="{610B8267-7F14-4163-87E5-BFED27C36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DE2D4-C045-471A-9120-2F97519AF2D2}">
  <dimension ref="A1:H25"/>
  <sheetViews>
    <sheetView zoomScale="70" zoomScaleNormal="70" workbookViewId="0">
      <selection activeCell="E47" sqref="E47"/>
    </sheetView>
  </sheetViews>
  <sheetFormatPr defaultRowHeight="14.5" x14ac:dyDescent="0.35"/>
  <cols>
    <col min="1" max="3" width="33.7265625" customWidth="1"/>
    <col min="4" max="4" width="30.26953125" customWidth="1"/>
    <col min="5" max="5" width="24.81640625" customWidth="1"/>
    <col min="6" max="6" width="24.90625" customWidth="1"/>
    <col min="7" max="7" width="22.54296875" customWidth="1"/>
    <col min="8" max="8" width="20" customWidth="1"/>
  </cols>
  <sheetData>
    <row r="1" spans="1:8" ht="18" thickBot="1" x14ac:dyDescent="0.4">
      <c r="A1" s="34"/>
      <c r="B1" s="55" t="s">
        <v>66</v>
      </c>
      <c r="C1" s="56"/>
      <c r="D1" s="54" t="s">
        <v>920</v>
      </c>
      <c r="E1" s="44"/>
      <c r="F1" s="44"/>
      <c r="G1" s="44"/>
      <c r="H1" s="35"/>
    </row>
    <row r="2" spans="1:8" x14ac:dyDescent="0.35">
      <c r="A2" s="36"/>
      <c r="B2" s="36"/>
      <c r="C2" s="37"/>
      <c r="D2" s="35"/>
      <c r="E2" s="53"/>
      <c r="F2" s="44"/>
      <c r="G2" s="44"/>
      <c r="H2" s="35"/>
    </row>
    <row r="3" spans="1:8" ht="58" x14ac:dyDescent="0.35">
      <c r="A3" s="38" t="s">
        <v>67</v>
      </c>
      <c r="B3" s="38" t="s">
        <v>921</v>
      </c>
      <c r="C3" s="39" t="s">
        <v>921</v>
      </c>
      <c r="D3" s="39" t="s">
        <v>922</v>
      </c>
      <c r="E3" s="38" t="s">
        <v>923</v>
      </c>
      <c r="F3" s="46" t="s">
        <v>923</v>
      </c>
      <c r="G3" s="46" t="s">
        <v>924</v>
      </c>
      <c r="H3" s="39" t="s">
        <v>924</v>
      </c>
    </row>
    <row r="4" spans="1:8" x14ac:dyDescent="0.35">
      <c r="A4" s="38"/>
      <c r="B4" s="38" t="s">
        <v>910</v>
      </c>
      <c r="C4" s="39" t="s">
        <v>911</v>
      </c>
      <c r="D4" s="37"/>
      <c r="E4" s="38" t="s">
        <v>910</v>
      </c>
      <c r="F4" s="46" t="s">
        <v>911</v>
      </c>
      <c r="G4" s="46" t="s">
        <v>910</v>
      </c>
      <c r="H4" s="39" t="s">
        <v>911</v>
      </c>
    </row>
    <row r="5" spans="1:8" x14ac:dyDescent="0.35">
      <c r="A5" s="40" t="s">
        <v>68</v>
      </c>
      <c r="B5" s="40">
        <v>2.6</v>
      </c>
      <c r="C5" s="41">
        <v>1.6</v>
      </c>
      <c r="D5" s="37">
        <v>70</v>
      </c>
      <c r="E5" s="40">
        <v>220</v>
      </c>
      <c r="F5" s="47">
        <v>119</v>
      </c>
      <c r="G5" s="47">
        <v>1250</v>
      </c>
      <c r="H5" s="41">
        <v>936</v>
      </c>
    </row>
    <row r="6" spans="1:8" x14ac:dyDescent="0.35">
      <c r="A6" s="40" t="s">
        <v>69</v>
      </c>
      <c r="B6" s="40">
        <v>2</v>
      </c>
      <c r="C6" s="41">
        <v>1.3</v>
      </c>
      <c r="D6" s="37">
        <v>49.5</v>
      </c>
      <c r="E6" s="40">
        <v>160</v>
      </c>
      <c r="F6" s="47">
        <v>62</v>
      </c>
      <c r="G6" s="47">
        <v>1050</v>
      </c>
      <c r="H6" s="41">
        <v>545</v>
      </c>
    </row>
    <row r="7" spans="1:8" x14ac:dyDescent="0.35">
      <c r="A7" s="40" t="s">
        <v>70</v>
      </c>
      <c r="B7" s="40">
        <v>2.2000000000000002</v>
      </c>
      <c r="C7" s="41">
        <v>2.1</v>
      </c>
      <c r="D7" s="37">
        <v>71.900000000000006</v>
      </c>
      <c r="E7" s="40">
        <v>216</v>
      </c>
      <c r="F7" s="47">
        <v>85</v>
      </c>
      <c r="G7" s="47">
        <v>1410</v>
      </c>
      <c r="H7" s="41">
        <v>672</v>
      </c>
    </row>
    <row r="8" spans="1:8" x14ac:dyDescent="0.35">
      <c r="A8" s="40" t="s">
        <v>71</v>
      </c>
      <c r="B8" s="40">
        <v>1.1000000000000001</v>
      </c>
      <c r="C8" s="41">
        <v>1.5</v>
      </c>
      <c r="D8" s="37">
        <v>34.200000000000003</v>
      </c>
      <c r="E8" s="40">
        <v>55</v>
      </c>
      <c r="F8" s="47">
        <v>25</v>
      </c>
      <c r="G8" s="47">
        <v>588</v>
      </c>
      <c r="H8" s="41">
        <v>344</v>
      </c>
    </row>
    <row r="9" spans="1:8" x14ac:dyDescent="0.35">
      <c r="A9" s="40" t="s">
        <v>72</v>
      </c>
      <c r="B9" s="40">
        <v>1.7</v>
      </c>
      <c r="C9" s="41">
        <v>2.1</v>
      </c>
      <c r="D9" s="37">
        <v>41.3</v>
      </c>
      <c r="E9" s="40">
        <v>145</v>
      </c>
      <c r="F9" s="47">
        <v>86.5</v>
      </c>
      <c r="G9" s="47">
        <v>962</v>
      </c>
      <c r="H9" s="41">
        <v>658</v>
      </c>
    </row>
    <row r="10" spans="1:8" x14ac:dyDescent="0.35">
      <c r="A10" s="40" t="s">
        <v>73</v>
      </c>
      <c r="B10" s="40">
        <v>2</v>
      </c>
      <c r="C10" s="41">
        <v>1.9</v>
      </c>
      <c r="D10" s="37">
        <v>58</v>
      </c>
      <c r="E10" s="40">
        <v>27.5</v>
      </c>
      <c r="F10" s="47">
        <v>41.2</v>
      </c>
      <c r="G10" s="47">
        <v>914</v>
      </c>
      <c r="H10" s="41">
        <v>394</v>
      </c>
    </row>
    <row r="11" spans="1:8" x14ac:dyDescent="0.35">
      <c r="A11" s="40" t="s">
        <v>74</v>
      </c>
      <c r="B11" s="40">
        <v>1.7</v>
      </c>
      <c r="C11" s="41">
        <v>1.5</v>
      </c>
      <c r="D11" s="37">
        <v>39.299999999999997</v>
      </c>
      <c r="E11" s="40">
        <v>53</v>
      </c>
      <c r="F11" s="47">
        <v>18</v>
      </c>
      <c r="G11" s="47">
        <v>622</v>
      </c>
      <c r="H11" s="41">
        <v>286</v>
      </c>
    </row>
    <row r="12" spans="1:8" x14ac:dyDescent="0.35">
      <c r="A12" s="40" t="s">
        <v>75</v>
      </c>
      <c r="B12" s="40">
        <v>1.5</v>
      </c>
      <c r="C12" s="41">
        <v>1.5</v>
      </c>
      <c r="D12" s="37">
        <v>40.5</v>
      </c>
      <c r="E12" s="40">
        <v>85</v>
      </c>
      <c r="F12" s="47">
        <v>27</v>
      </c>
      <c r="G12" s="47">
        <v>703</v>
      </c>
      <c r="H12" s="41">
        <v>311</v>
      </c>
    </row>
    <row r="13" spans="1:8" x14ac:dyDescent="0.35">
      <c r="A13" s="40" t="s">
        <v>76</v>
      </c>
      <c r="B13" s="40">
        <v>1.5</v>
      </c>
      <c r="C13" s="41">
        <v>1.9</v>
      </c>
      <c r="D13" s="37">
        <v>45</v>
      </c>
      <c r="E13" s="40">
        <v>78</v>
      </c>
      <c r="F13" s="47">
        <v>20</v>
      </c>
      <c r="G13" s="47">
        <v>923</v>
      </c>
      <c r="H13" s="41">
        <v>272</v>
      </c>
    </row>
    <row r="14" spans="1:8" x14ac:dyDescent="0.35">
      <c r="A14" s="40" t="s">
        <v>77</v>
      </c>
      <c r="B14" s="40">
        <v>1.4</v>
      </c>
      <c r="C14" s="41">
        <v>1</v>
      </c>
      <c r="D14" s="37">
        <v>23</v>
      </c>
      <c r="E14" s="40">
        <v>88.5</v>
      </c>
      <c r="F14" s="47">
        <v>24</v>
      </c>
      <c r="G14" s="47">
        <v>667</v>
      </c>
      <c r="H14" s="41">
        <v>313</v>
      </c>
    </row>
    <row r="15" spans="1:8" x14ac:dyDescent="0.35">
      <c r="A15" s="40" t="s">
        <v>78</v>
      </c>
      <c r="B15" s="40">
        <v>1</v>
      </c>
      <c r="C15" s="41">
        <v>1.3</v>
      </c>
      <c r="D15" s="37">
        <v>26</v>
      </c>
      <c r="E15" s="40">
        <v>55</v>
      </c>
      <c r="F15" s="47">
        <v>13</v>
      </c>
      <c r="G15" s="47">
        <v>534</v>
      </c>
      <c r="H15" s="41">
        <v>191</v>
      </c>
    </row>
    <row r="16" spans="1:8" x14ac:dyDescent="0.35">
      <c r="A16" s="40" t="s">
        <v>79</v>
      </c>
      <c r="B16" s="40">
        <v>1.1000000000000001</v>
      </c>
      <c r="C16" s="41">
        <v>2</v>
      </c>
      <c r="D16" s="37">
        <v>20</v>
      </c>
      <c r="E16" s="40">
        <v>35</v>
      </c>
      <c r="F16" s="47">
        <v>13.5</v>
      </c>
      <c r="G16" s="47">
        <v>430</v>
      </c>
      <c r="H16" s="41">
        <v>187</v>
      </c>
    </row>
    <row r="17" spans="1:8" x14ac:dyDescent="0.35">
      <c r="A17" s="40" t="s">
        <v>912</v>
      </c>
      <c r="B17" s="40">
        <v>1.8</v>
      </c>
      <c r="C17" s="41">
        <v>0</v>
      </c>
      <c r="D17" s="37">
        <v>30</v>
      </c>
      <c r="E17" s="40">
        <v>54</v>
      </c>
      <c r="F17" s="47">
        <v>15</v>
      </c>
      <c r="G17" s="47">
        <v>649</v>
      </c>
      <c r="H17" s="41">
        <v>228</v>
      </c>
    </row>
    <row r="18" spans="1:8" x14ac:dyDescent="0.35">
      <c r="A18" s="40" t="s">
        <v>913</v>
      </c>
      <c r="B18" s="40">
        <v>1.3</v>
      </c>
      <c r="C18" s="41">
        <v>1.1000000000000001</v>
      </c>
      <c r="D18" s="37">
        <v>33.9</v>
      </c>
      <c r="E18" s="40">
        <v>27.5</v>
      </c>
      <c r="F18" s="47">
        <v>9.5</v>
      </c>
      <c r="G18" s="47">
        <v>446</v>
      </c>
      <c r="H18" s="41">
        <v>150</v>
      </c>
    </row>
    <row r="19" spans="1:8" x14ac:dyDescent="0.35">
      <c r="A19" s="40" t="s">
        <v>914</v>
      </c>
      <c r="B19" s="40">
        <v>1.8</v>
      </c>
      <c r="C19" s="37">
        <v>1.6</v>
      </c>
      <c r="D19" s="37">
        <v>51.8</v>
      </c>
      <c r="E19" s="40">
        <v>110</v>
      </c>
      <c r="F19" s="47">
        <v>62</v>
      </c>
      <c r="G19" s="47">
        <v>902</v>
      </c>
      <c r="H19" s="41">
        <v>588</v>
      </c>
    </row>
    <row r="20" spans="1:8" x14ac:dyDescent="0.35">
      <c r="A20" s="40" t="s">
        <v>915</v>
      </c>
      <c r="B20" s="40">
        <v>2</v>
      </c>
      <c r="C20" s="37">
        <v>1.6</v>
      </c>
      <c r="D20" s="37">
        <v>55.6</v>
      </c>
      <c r="E20" s="40">
        <v>90</v>
      </c>
      <c r="F20" s="47">
        <v>44</v>
      </c>
      <c r="G20" s="47">
        <v>808</v>
      </c>
      <c r="H20" s="41">
        <v>464</v>
      </c>
    </row>
    <row r="21" spans="1:8" x14ac:dyDescent="0.35">
      <c r="A21" s="40" t="s">
        <v>916</v>
      </c>
      <c r="B21" s="40">
        <v>1.9</v>
      </c>
      <c r="C21" s="37">
        <v>1.8</v>
      </c>
      <c r="D21" s="37">
        <v>50.8</v>
      </c>
      <c r="E21" s="40">
        <v>123</v>
      </c>
      <c r="F21" s="47">
        <v>40</v>
      </c>
      <c r="G21" s="47">
        <v>829</v>
      </c>
      <c r="H21" s="41">
        <v>332</v>
      </c>
    </row>
    <row r="22" spans="1:8" x14ac:dyDescent="0.35">
      <c r="A22" s="40" t="s">
        <v>917</v>
      </c>
      <c r="B22" s="40">
        <v>2.4</v>
      </c>
      <c r="C22" s="37">
        <v>1.4</v>
      </c>
      <c r="D22" s="37">
        <v>52</v>
      </c>
      <c r="E22" s="40">
        <v>90</v>
      </c>
      <c r="F22" s="47">
        <v>63.5</v>
      </c>
      <c r="G22" s="47">
        <v>875</v>
      </c>
      <c r="H22" s="41">
        <v>649</v>
      </c>
    </row>
    <row r="23" spans="1:8" x14ac:dyDescent="0.35">
      <c r="A23" s="40" t="s">
        <v>80</v>
      </c>
      <c r="B23" s="40">
        <v>1.1000000000000001</v>
      </c>
      <c r="C23" s="37">
        <v>0</v>
      </c>
      <c r="D23" s="37">
        <v>16</v>
      </c>
      <c r="E23" s="40">
        <v>39</v>
      </c>
      <c r="F23" s="47">
        <v>18</v>
      </c>
      <c r="G23" s="47">
        <v>429</v>
      </c>
      <c r="H23" s="41">
        <v>229</v>
      </c>
    </row>
    <row r="24" spans="1:8" x14ac:dyDescent="0.35">
      <c r="A24" s="40" t="s">
        <v>918</v>
      </c>
      <c r="B24" s="40">
        <v>1.7</v>
      </c>
      <c r="C24" s="37">
        <v>1.4</v>
      </c>
      <c r="D24" s="37">
        <v>48</v>
      </c>
      <c r="E24" s="40">
        <v>82</v>
      </c>
      <c r="F24" s="47">
        <v>20</v>
      </c>
      <c r="G24" s="47">
        <v>845</v>
      </c>
      <c r="H24" s="41">
        <v>278</v>
      </c>
    </row>
    <row r="25" spans="1:8" ht="15" thickBot="1" x14ac:dyDescent="0.4">
      <c r="A25" s="42" t="s">
        <v>919</v>
      </c>
      <c r="B25" s="42">
        <v>2.2000000000000002</v>
      </c>
      <c r="C25" s="43">
        <v>1.8</v>
      </c>
      <c r="D25" s="43">
        <v>70</v>
      </c>
      <c r="E25" s="42">
        <v>173</v>
      </c>
      <c r="F25" s="48">
        <v>70</v>
      </c>
      <c r="G25" s="48">
        <v>1180</v>
      </c>
      <c r="H25" s="49">
        <v>564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C6447-E698-4128-87F5-750836736174}">
  <dimension ref="A1:O26"/>
  <sheetViews>
    <sheetView workbookViewId="0">
      <selection activeCell="N37" sqref="N37"/>
    </sheetView>
  </sheetViews>
  <sheetFormatPr defaultRowHeight="14.5" x14ac:dyDescent="0.35"/>
  <cols>
    <col min="5" max="5" width="12.54296875" customWidth="1"/>
  </cols>
  <sheetData>
    <row r="1" spans="1:15" x14ac:dyDescent="0.35">
      <c r="A1" t="s">
        <v>85</v>
      </c>
      <c r="B1" t="s">
        <v>86</v>
      </c>
      <c r="C1" t="s">
        <v>87</v>
      </c>
      <c r="D1" t="s">
        <v>90</v>
      </c>
      <c r="E1" t="s">
        <v>323</v>
      </c>
      <c r="F1" t="s">
        <v>324</v>
      </c>
      <c r="G1" t="s">
        <v>325</v>
      </c>
      <c r="H1">
        <v>2018</v>
      </c>
      <c r="I1">
        <v>2019</v>
      </c>
      <c r="J1">
        <v>2020</v>
      </c>
      <c r="K1">
        <v>2021</v>
      </c>
      <c r="L1">
        <v>2022</v>
      </c>
      <c r="M1">
        <v>2023</v>
      </c>
      <c r="N1">
        <v>2024</v>
      </c>
      <c r="O1">
        <v>2025</v>
      </c>
    </row>
    <row r="2" spans="1:15" x14ac:dyDescent="0.35">
      <c r="A2" t="s">
        <v>326</v>
      </c>
      <c r="B2" t="s">
        <v>124</v>
      </c>
      <c r="C2" t="s">
        <v>21</v>
      </c>
      <c r="D2" t="s">
        <v>96</v>
      </c>
      <c r="E2" t="s">
        <v>329</v>
      </c>
      <c r="F2" t="s">
        <v>330</v>
      </c>
      <c r="H2" t="s">
        <v>331</v>
      </c>
      <c r="I2" t="s">
        <v>332</v>
      </c>
      <c r="J2" t="s">
        <v>333</v>
      </c>
      <c r="K2" t="s">
        <v>334</v>
      </c>
      <c r="L2" t="s">
        <v>335</v>
      </c>
      <c r="M2" t="s">
        <v>336</v>
      </c>
      <c r="N2" t="s">
        <v>337</v>
      </c>
      <c r="O2" t="s">
        <v>338</v>
      </c>
    </row>
    <row r="3" spans="1:15" x14ac:dyDescent="0.35">
      <c r="A3" t="s">
        <v>326</v>
      </c>
      <c r="B3" t="s">
        <v>93</v>
      </c>
      <c r="C3" t="s">
        <v>21</v>
      </c>
      <c r="D3" t="s">
        <v>96</v>
      </c>
      <c r="E3" t="s">
        <v>329</v>
      </c>
      <c r="F3" t="s">
        <v>330</v>
      </c>
      <c r="G3" t="s">
        <v>339</v>
      </c>
      <c r="H3" t="s">
        <v>340</v>
      </c>
      <c r="I3" t="s">
        <v>341</v>
      </c>
      <c r="J3" t="s">
        <v>342</v>
      </c>
      <c r="K3" t="s">
        <v>343</v>
      </c>
      <c r="L3" t="s">
        <v>344</v>
      </c>
      <c r="M3" t="s">
        <v>345</v>
      </c>
      <c r="N3" t="s">
        <v>346</v>
      </c>
      <c r="O3" t="s">
        <v>347</v>
      </c>
    </row>
    <row r="4" spans="1:15" x14ac:dyDescent="0.35">
      <c r="A4" t="s">
        <v>326</v>
      </c>
      <c r="B4" t="s">
        <v>115</v>
      </c>
      <c r="C4" t="s">
        <v>21</v>
      </c>
      <c r="D4" t="s">
        <v>96</v>
      </c>
      <c r="E4" t="s">
        <v>329</v>
      </c>
      <c r="F4" t="s">
        <v>330</v>
      </c>
      <c r="H4" t="s">
        <v>348</v>
      </c>
      <c r="I4" t="s">
        <v>349</v>
      </c>
      <c r="J4" t="s">
        <v>350</v>
      </c>
      <c r="K4" t="s">
        <v>351</v>
      </c>
      <c r="L4" t="s">
        <v>352</v>
      </c>
      <c r="M4" t="s">
        <v>353</v>
      </c>
      <c r="N4" t="s">
        <v>354</v>
      </c>
      <c r="O4" t="s">
        <v>355</v>
      </c>
    </row>
    <row r="5" spans="1:15" x14ac:dyDescent="0.35">
      <c r="A5" t="s">
        <v>326</v>
      </c>
      <c r="B5" t="s">
        <v>133</v>
      </c>
      <c r="C5" t="s">
        <v>21</v>
      </c>
      <c r="D5" t="s">
        <v>96</v>
      </c>
      <c r="E5" t="s">
        <v>329</v>
      </c>
      <c r="F5" t="s">
        <v>356</v>
      </c>
      <c r="G5" t="s">
        <v>357</v>
      </c>
      <c r="H5" t="s">
        <v>358</v>
      </c>
      <c r="J5" t="s">
        <v>359</v>
      </c>
      <c r="K5" t="s">
        <v>360</v>
      </c>
      <c r="N5" t="s">
        <v>361</v>
      </c>
    </row>
    <row r="6" spans="1:15" x14ac:dyDescent="0.35">
      <c r="A6" t="s">
        <v>326</v>
      </c>
      <c r="B6" t="s">
        <v>142</v>
      </c>
      <c r="C6" t="s">
        <v>21</v>
      </c>
      <c r="D6" t="s">
        <v>96</v>
      </c>
      <c r="E6" t="s">
        <v>329</v>
      </c>
      <c r="F6" t="s">
        <v>330</v>
      </c>
      <c r="H6" t="s">
        <v>362</v>
      </c>
      <c r="I6" t="s">
        <v>363</v>
      </c>
      <c r="J6" t="s">
        <v>364</v>
      </c>
      <c r="K6" t="s">
        <v>365</v>
      </c>
      <c r="L6" t="s">
        <v>366</v>
      </c>
      <c r="M6" t="s">
        <v>367</v>
      </c>
      <c r="N6" t="s">
        <v>368</v>
      </c>
      <c r="O6" t="s">
        <v>369</v>
      </c>
    </row>
    <row r="7" spans="1:15" x14ac:dyDescent="0.35">
      <c r="A7" t="s">
        <v>326</v>
      </c>
      <c r="B7" t="s">
        <v>151</v>
      </c>
      <c r="C7" t="s">
        <v>21</v>
      </c>
      <c r="D7" t="s">
        <v>96</v>
      </c>
      <c r="E7" t="s">
        <v>329</v>
      </c>
      <c r="F7" t="s">
        <v>330</v>
      </c>
      <c r="H7" t="s">
        <v>370</v>
      </c>
      <c r="I7" t="s">
        <v>371</v>
      </c>
      <c r="J7" t="s">
        <v>372</v>
      </c>
      <c r="K7" t="s">
        <v>373</v>
      </c>
      <c r="L7" t="s">
        <v>374</v>
      </c>
      <c r="M7" t="s">
        <v>375</v>
      </c>
      <c r="N7" t="s">
        <v>376</v>
      </c>
      <c r="O7" t="s">
        <v>377</v>
      </c>
    </row>
    <row r="8" spans="1:15" x14ac:dyDescent="0.35">
      <c r="A8" s="27" t="s">
        <v>326</v>
      </c>
      <c r="B8" s="27" t="s">
        <v>106</v>
      </c>
      <c r="C8" s="27" t="s">
        <v>21</v>
      </c>
      <c r="D8" s="27" t="s">
        <v>96</v>
      </c>
      <c r="E8" s="27" t="s">
        <v>329</v>
      </c>
      <c r="F8" s="27" t="s">
        <v>356</v>
      </c>
      <c r="G8" s="27"/>
      <c r="H8" s="27" t="s">
        <v>378</v>
      </c>
      <c r="I8" s="27" t="s">
        <v>379</v>
      </c>
      <c r="J8" s="27" t="s">
        <v>380</v>
      </c>
      <c r="K8" s="27" t="s">
        <v>381</v>
      </c>
      <c r="L8" s="27" t="s">
        <v>382</v>
      </c>
      <c r="M8" s="27" t="s">
        <v>383</v>
      </c>
      <c r="N8" s="27" t="s">
        <v>384</v>
      </c>
      <c r="O8" s="27" t="s">
        <v>385</v>
      </c>
    </row>
    <row r="9" spans="1:15" x14ac:dyDescent="0.35">
      <c r="A9" t="s">
        <v>326</v>
      </c>
      <c r="B9" t="s">
        <v>204</v>
      </c>
      <c r="C9" t="s">
        <v>21</v>
      </c>
      <c r="D9" t="s">
        <v>96</v>
      </c>
      <c r="E9" t="s">
        <v>329</v>
      </c>
      <c r="F9" t="s">
        <v>330</v>
      </c>
      <c r="H9" t="s">
        <v>386</v>
      </c>
      <c r="I9" t="s">
        <v>387</v>
      </c>
      <c r="J9" t="s">
        <v>388</v>
      </c>
      <c r="K9" t="s">
        <v>389</v>
      </c>
      <c r="L9" t="s">
        <v>390</v>
      </c>
      <c r="M9" t="s">
        <v>391</v>
      </c>
      <c r="N9" t="s">
        <v>392</v>
      </c>
      <c r="O9" t="s">
        <v>393</v>
      </c>
    </row>
    <row r="10" spans="1:15" x14ac:dyDescent="0.35">
      <c r="A10" t="s">
        <v>326</v>
      </c>
      <c r="B10" t="s">
        <v>195</v>
      </c>
      <c r="C10" t="s">
        <v>21</v>
      </c>
      <c r="D10" t="s">
        <v>96</v>
      </c>
      <c r="E10" t="s">
        <v>329</v>
      </c>
      <c r="F10" t="s">
        <v>330</v>
      </c>
      <c r="H10" t="s">
        <v>394</v>
      </c>
      <c r="I10" t="s">
        <v>395</v>
      </c>
      <c r="J10" t="s">
        <v>396</v>
      </c>
      <c r="K10" t="s">
        <v>397</v>
      </c>
      <c r="L10" t="s">
        <v>398</v>
      </c>
      <c r="M10" t="s">
        <v>399</v>
      </c>
      <c r="N10" t="s">
        <v>400</v>
      </c>
      <c r="O10" t="s">
        <v>401</v>
      </c>
    </row>
    <row r="11" spans="1:15" x14ac:dyDescent="0.35">
      <c r="A11" t="s">
        <v>326</v>
      </c>
      <c r="B11" t="s">
        <v>294</v>
      </c>
      <c r="C11" t="s">
        <v>21</v>
      </c>
      <c r="D11" t="s">
        <v>96</v>
      </c>
      <c r="E11" t="s">
        <v>329</v>
      </c>
      <c r="F11" t="s">
        <v>330</v>
      </c>
      <c r="G11" t="s">
        <v>357</v>
      </c>
      <c r="H11" t="s">
        <v>403</v>
      </c>
      <c r="J11" t="s">
        <v>404</v>
      </c>
      <c r="K11" t="s">
        <v>405</v>
      </c>
      <c r="L11" t="s">
        <v>406</v>
      </c>
      <c r="M11" t="s">
        <v>407</v>
      </c>
      <c r="N11" t="s">
        <v>408</v>
      </c>
    </row>
    <row r="12" spans="1:15" x14ac:dyDescent="0.35">
      <c r="A12" t="s">
        <v>326</v>
      </c>
      <c r="B12" t="s">
        <v>312</v>
      </c>
      <c r="C12" t="s">
        <v>21</v>
      </c>
      <c r="D12" t="s">
        <v>96</v>
      </c>
      <c r="E12" t="s">
        <v>329</v>
      </c>
      <c r="F12" t="s">
        <v>330</v>
      </c>
      <c r="G12" t="s">
        <v>357</v>
      </c>
      <c r="H12" t="s">
        <v>409</v>
      </c>
      <c r="I12" t="s">
        <v>410</v>
      </c>
      <c r="J12" t="s">
        <v>411</v>
      </c>
      <c r="K12" t="s">
        <v>412</v>
      </c>
      <c r="L12" t="s">
        <v>413</v>
      </c>
    </row>
    <row r="13" spans="1:15" x14ac:dyDescent="0.35">
      <c r="A13" t="s">
        <v>326</v>
      </c>
      <c r="B13" t="s">
        <v>276</v>
      </c>
      <c r="C13" t="s">
        <v>21</v>
      </c>
      <c r="D13" t="s">
        <v>96</v>
      </c>
      <c r="E13" t="s">
        <v>329</v>
      </c>
      <c r="F13" t="s">
        <v>330</v>
      </c>
      <c r="H13" t="s">
        <v>414</v>
      </c>
      <c r="I13" t="s">
        <v>415</v>
      </c>
      <c r="J13" t="s">
        <v>416</v>
      </c>
      <c r="K13" t="s">
        <v>417</v>
      </c>
      <c r="L13" t="s">
        <v>418</v>
      </c>
      <c r="M13" t="s">
        <v>419</v>
      </c>
      <c r="N13" t="s">
        <v>420</v>
      </c>
      <c r="O13" t="s">
        <v>421</v>
      </c>
    </row>
    <row r="14" spans="1:15" x14ac:dyDescent="0.35">
      <c r="A14" t="s">
        <v>326</v>
      </c>
      <c r="B14" t="s">
        <v>267</v>
      </c>
      <c r="C14" t="s">
        <v>21</v>
      </c>
      <c r="D14" t="s">
        <v>96</v>
      </c>
      <c r="E14" t="s">
        <v>329</v>
      </c>
      <c r="F14" t="s">
        <v>330</v>
      </c>
      <c r="H14" t="s">
        <v>422</v>
      </c>
      <c r="I14" t="s">
        <v>423</v>
      </c>
      <c r="J14" t="s">
        <v>424</v>
      </c>
      <c r="K14" t="s">
        <v>425</v>
      </c>
      <c r="L14" t="s">
        <v>426</v>
      </c>
      <c r="M14" t="s">
        <v>427</v>
      </c>
      <c r="N14" t="s">
        <v>428</v>
      </c>
      <c r="O14" t="s">
        <v>429</v>
      </c>
    </row>
    <row r="15" spans="1:15" x14ac:dyDescent="0.35">
      <c r="A15" t="s">
        <v>326</v>
      </c>
      <c r="B15" t="s">
        <v>285</v>
      </c>
      <c r="C15" t="s">
        <v>21</v>
      </c>
      <c r="D15" t="s">
        <v>96</v>
      </c>
      <c r="E15" t="s">
        <v>329</v>
      </c>
      <c r="F15" t="s">
        <v>330</v>
      </c>
      <c r="G15" t="s">
        <v>339</v>
      </c>
      <c r="H15" t="s">
        <v>430</v>
      </c>
      <c r="I15" t="s">
        <v>431</v>
      </c>
      <c r="J15" t="s">
        <v>432</v>
      </c>
      <c r="K15" t="s">
        <v>433</v>
      </c>
      <c r="L15" t="s">
        <v>434</v>
      </c>
      <c r="M15" t="s">
        <v>435</v>
      </c>
      <c r="N15" t="s">
        <v>436</v>
      </c>
      <c r="O15" t="s">
        <v>437</v>
      </c>
    </row>
    <row r="16" spans="1:15" x14ac:dyDescent="0.35">
      <c r="A16" t="s">
        <v>326</v>
      </c>
      <c r="B16" t="s">
        <v>177</v>
      </c>
      <c r="C16" t="s">
        <v>21</v>
      </c>
      <c r="D16" t="s">
        <v>96</v>
      </c>
      <c r="E16" t="s">
        <v>329</v>
      </c>
      <c r="F16" t="s">
        <v>330</v>
      </c>
      <c r="H16" t="s">
        <v>438</v>
      </c>
      <c r="I16" t="s">
        <v>439</v>
      </c>
      <c r="J16" t="s">
        <v>440</v>
      </c>
      <c r="K16" t="s">
        <v>441</v>
      </c>
      <c r="L16" t="s">
        <v>442</v>
      </c>
      <c r="M16" t="s">
        <v>443</v>
      </c>
      <c r="N16" t="s">
        <v>444</v>
      </c>
      <c r="O16" t="s">
        <v>445</v>
      </c>
    </row>
    <row r="17" spans="1:15" x14ac:dyDescent="0.35">
      <c r="A17" t="s">
        <v>326</v>
      </c>
      <c r="B17" t="s">
        <v>160</v>
      </c>
      <c r="C17" t="s">
        <v>21</v>
      </c>
      <c r="D17" t="s">
        <v>96</v>
      </c>
      <c r="E17" t="s">
        <v>329</v>
      </c>
      <c r="F17" t="s">
        <v>330</v>
      </c>
      <c r="G17" t="s">
        <v>339</v>
      </c>
      <c r="H17" t="s">
        <v>446</v>
      </c>
      <c r="I17" t="s">
        <v>447</v>
      </c>
      <c r="J17" t="s">
        <v>448</v>
      </c>
      <c r="K17" t="s">
        <v>449</v>
      </c>
      <c r="L17" t="s">
        <v>450</v>
      </c>
    </row>
    <row r="18" spans="1:15" x14ac:dyDescent="0.35">
      <c r="A18" t="s">
        <v>326</v>
      </c>
      <c r="B18" t="s">
        <v>240</v>
      </c>
      <c r="C18" t="s">
        <v>21</v>
      </c>
      <c r="D18" t="s">
        <v>96</v>
      </c>
      <c r="E18" t="s">
        <v>329</v>
      </c>
      <c r="F18" t="s">
        <v>330</v>
      </c>
      <c r="G18" t="s">
        <v>339</v>
      </c>
      <c r="H18" t="s">
        <v>451</v>
      </c>
      <c r="I18" t="s">
        <v>452</v>
      </c>
      <c r="J18" t="s">
        <v>453</v>
      </c>
      <c r="K18" t="s">
        <v>454</v>
      </c>
      <c r="L18" t="s">
        <v>455</v>
      </c>
      <c r="O18" t="s">
        <v>456</v>
      </c>
    </row>
    <row r="19" spans="1:15" x14ac:dyDescent="0.35">
      <c r="A19" t="s">
        <v>326</v>
      </c>
      <c r="B19" t="s">
        <v>258</v>
      </c>
      <c r="C19" t="s">
        <v>21</v>
      </c>
      <c r="D19" t="s">
        <v>96</v>
      </c>
      <c r="E19" t="s">
        <v>329</v>
      </c>
      <c r="F19" t="s">
        <v>330</v>
      </c>
      <c r="H19" t="s">
        <v>457</v>
      </c>
      <c r="I19" t="s">
        <v>458</v>
      </c>
      <c r="J19" t="s">
        <v>459</v>
      </c>
      <c r="K19" t="s">
        <v>460</v>
      </c>
      <c r="L19" t="s">
        <v>461</v>
      </c>
      <c r="M19" t="s">
        <v>462</v>
      </c>
      <c r="N19" t="s">
        <v>463</v>
      </c>
      <c r="O19" t="s">
        <v>464</v>
      </c>
    </row>
    <row r="20" spans="1:15" x14ac:dyDescent="0.35">
      <c r="A20" t="s">
        <v>326</v>
      </c>
      <c r="B20" t="s">
        <v>249</v>
      </c>
      <c r="C20" t="s">
        <v>21</v>
      </c>
      <c r="D20" t="s">
        <v>96</v>
      </c>
      <c r="E20" t="s">
        <v>329</v>
      </c>
      <c r="F20" t="s">
        <v>330</v>
      </c>
      <c r="G20" t="s">
        <v>357</v>
      </c>
      <c r="H20" t="s">
        <v>465</v>
      </c>
      <c r="I20" t="s">
        <v>466</v>
      </c>
      <c r="J20" t="s">
        <v>467</v>
      </c>
      <c r="K20" t="s">
        <v>468</v>
      </c>
      <c r="L20" t="s">
        <v>469</v>
      </c>
      <c r="M20" t="s">
        <v>470</v>
      </c>
    </row>
    <row r="21" spans="1:15" x14ac:dyDescent="0.35">
      <c r="A21" t="s">
        <v>326</v>
      </c>
      <c r="B21" t="s">
        <v>213</v>
      </c>
      <c r="C21" t="s">
        <v>21</v>
      </c>
      <c r="D21" t="s">
        <v>96</v>
      </c>
      <c r="E21" t="s">
        <v>329</v>
      </c>
      <c r="F21" t="s">
        <v>330</v>
      </c>
      <c r="G21" t="s">
        <v>339</v>
      </c>
      <c r="H21" t="s">
        <v>471</v>
      </c>
      <c r="I21" t="s">
        <v>472</v>
      </c>
      <c r="J21" t="s">
        <v>473</v>
      </c>
      <c r="K21" t="s">
        <v>474</v>
      </c>
      <c r="L21" t="s">
        <v>475</v>
      </c>
    </row>
    <row r="22" spans="1:15" x14ac:dyDescent="0.35">
      <c r="A22" t="s">
        <v>326</v>
      </c>
      <c r="B22" t="s">
        <v>68</v>
      </c>
      <c r="C22" t="s">
        <v>21</v>
      </c>
      <c r="D22" t="s">
        <v>96</v>
      </c>
      <c r="E22" t="s">
        <v>329</v>
      </c>
      <c r="F22" t="s">
        <v>330</v>
      </c>
      <c r="H22" t="s">
        <v>476</v>
      </c>
      <c r="I22" t="s">
        <v>477</v>
      </c>
      <c r="J22" t="s">
        <v>478</v>
      </c>
      <c r="K22" t="s">
        <v>479</v>
      </c>
      <c r="L22" t="s">
        <v>480</v>
      </c>
      <c r="M22" t="s">
        <v>481</v>
      </c>
      <c r="N22" t="s">
        <v>482</v>
      </c>
      <c r="O22" t="s">
        <v>483</v>
      </c>
    </row>
    <row r="23" spans="1:15" x14ac:dyDescent="0.35">
      <c r="A23" t="s">
        <v>326</v>
      </c>
      <c r="B23" t="s">
        <v>186</v>
      </c>
      <c r="C23" t="s">
        <v>21</v>
      </c>
      <c r="D23" t="s">
        <v>96</v>
      </c>
      <c r="E23" t="s">
        <v>329</v>
      </c>
      <c r="F23" t="s">
        <v>330</v>
      </c>
      <c r="G23" t="s">
        <v>339</v>
      </c>
      <c r="H23" t="s">
        <v>484</v>
      </c>
      <c r="I23" t="s">
        <v>485</v>
      </c>
      <c r="J23" t="s">
        <v>486</v>
      </c>
      <c r="K23" t="s">
        <v>487</v>
      </c>
      <c r="L23" t="s">
        <v>488</v>
      </c>
      <c r="O23" t="s">
        <v>489</v>
      </c>
    </row>
    <row r="24" spans="1:15" x14ac:dyDescent="0.35">
      <c r="A24" t="s">
        <v>326</v>
      </c>
      <c r="B24" t="s">
        <v>303</v>
      </c>
      <c r="C24" t="s">
        <v>21</v>
      </c>
      <c r="D24" t="s">
        <v>96</v>
      </c>
      <c r="E24" t="s">
        <v>329</v>
      </c>
      <c r="F24" t="s">
        <v>330</v>
      </c>
      <c r="H24" t="s">
        <v>490</v>
      </c>
      <c r="I24" t="s">
        <v>491</v>
      </c>
      <c r="J24" t="s">
        <v>492</v>
      </c>
      <c r="K24" t="s">
        <v>493</v>
      </c>
      <c r="L24" t="s">
        <v>494</v>
      </c>
      <c r="M24" t="s">
        <v>495</v>
      </c>
      <c r="N24" t="s">
        <v>496</v>
      </c>
      <c r="O24" t="s">
        <v>497</v>
      </c>
    </row>
    <row r="25" spans="1:15" x14ac:dyDescent="0.35">
      <c r="A25" t="s">
        <v>326</v>
      </c>
      <c r="B25" t="s">
        <v>231</v>
      </c>
      <c r="C25" t="s">
        <v>21</v>
      </c>
      <c r="D25" t="s">
        <v>96</v>
      </c>
      <c r="E25" t="s">
        <v>329</v>
      </c>
      <c r="F25" t="s">
        <v>330</v>
      </c>
      <c r="H25" t="s">
        <v>498</v>
      </c>
      <c r="I25" t="s">
        <v>499</v>
      </c>
      <c r="J25" t="s">
        <v>500</v>
      </c>
      <c r="K25" t="s">
        <v>501</v>
      </c>
      <c r="L25" t="s">
        <v>502</v>
      </c>
      <c r="M25" t="s">
        <v>503</v>
      </c>
      <c r="N25" t="s">
        <v>504</v>
      </c>
      <c r="O25" t="s">
        <v>505</v>
      </c>
    </row>
    <row r="26" spans="1:15" x14ac:dyDescent="0.35">
      <c r="A26" t="s">
        <v>326</v>
      </c>
      <c r="B26" t="s">
        <v>222</v>
      </c>
      <c r="C26" t="s">
        <v>21</v>
      </c>
      <c r="D26" t="s">
        <v>96</v>
      </c>
      <c r="E26" t="s">
        <v>329</v>
      </c>
      <c r="F26" t="s">
        <v>330</v>
      </c>
      <c r="H26" t="s">
        <v>506</v>
      </c>
      <c r="I26" t="s">
        <v>507</v>
      </c>
      <c r="J26" t="s">
        <v>508</v>
      </c>
      <c r="K26" t="s">
        <v>509</v>
      </c>
      <c r="L26" t="s">
        <v>510</v>
      </c>
      <c r="M26" t="s">
        <v>511</v>
      </c>
      <c r="N26" t="s">
        <v>512</v>
      </c>
      <c r="O26" t="s">
        <v>513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FD069-44DB-4A80-8747-63D9B4C37340}">
  <dimension ref="A1:O26"/>
  <sheetViews>
    <sheetView workbookViewId="0">
      <selection activeCell="P1" sqref="P1"/>
    </sheetView>
  </sheetViews>
  <sheetFormatPr defaultRowHeight="14.5" x14ac:dyDescent="0.35"/>
  <cols>
    <col min="2" max="2" width="10.26953125" customWidth="1"/>
  </cols>
  <sheetData>
    <row r="1" spans="1:15" x14ac:dyDescent="0.35">
      <c r="A1" t="s">
        <v>85</v>
      </c>
      <c r="B1" t="s">
        <v>86</v>
      </c>
      <c r="C1" t="s">
        <v>87</v>
      </c>
      <c r="D1" t="s">
        <v>88</v>
      </c>
      <c r="E1" t="s">
        <v>89</v>
      </c>
      <c r="F1" t="s">
        <v>90</v>
      </c>
      <c r="G1" t="s">
        <v>91</v>
      </c>
      <c r="H1">
        <v>2018</v>
      </c>
      <c r="I1">
        <v>2019</v>
      </c>
      <c r="J1">
        <v>2020</v>
      </c>
      <c r="K1">
        <v>2021</v>
      </c>
      <c r="L1">
        <v>2022</v>
      </c>
      <c r="M1">
        <v>2023</v>
      </c>
      <c r="N1">
        <v>2024</v>
      </c>
      <c r="O1">
        <v>2025</v>
      </c>
    </row>
    <row r="2" spans="1:15" x14ac:dyDescent="0.35">
      <c r="A2" t="s">
        <v>92</v>
      </c>
      <c r="B2" t="s">
        <v>93</v>
      </c>
      <c r="C2" t="s">
        <v>21</v>
      </c>
      <c r="D2" t="s">
        <v>94</v>
      </c>
      <c r="E2" t="s">
        <v>95</v>
      </c>
      <c r="F2" t="s">
        <v>96</v>
      </c>
      <c r="G2" t="s">
        <v>97</v>
      </c>
      <c r="H2" t="s">
        <v>98</v>
      </c>
      <c r="I2" t="s">
        <v>99</v>
      </c>
      <c r="J2" t="s">
        <v>100</v>
      </c>
      <c r="K2" t="s">
        <v>101</v>
      </c>
      <c r="L2" t="s">
        <v>102</v>
      </c>
      <c r="M2" t="s">
        <v>103</v>
      </c>
      <c r="N2" t="s">
        <v>104</v>
      </c>
      <c r="O2" t="s">
        <v>105</v>
      </c>
    </row>
    <row r="3" spans="1:15" x14ac:dyDescent="0.35">
      <c r="A3" s="27" t="s">
        <v>92</v>
      </c>
      <c r="B3" s="27" t="s">
        <v>106</v>
      </c>
      <c r="C3" s="27" t="s">
        <v>21</v>
      </c>
      <c r="D3" s="27" t="s">
        <v>94</v>
      </c>
      <c r="E3" s="27" t="s">
        <v>95</v>
      </c>
      <c r="F3" s="27" t="s">
        <v>96</v>
      </c>
      <c r="G3" s="27" t="s">
        <v>97</v>
      </c>
      <c r="H3" s="27" t="s">
        <v>107</v>
      </c>
      <c r="I3" s="27" t="s">
        <v>108</v>
      </c>
      <c r="J3" s="27" t="s">
        <v>109</v>
      </c>
      <c r="K3" s="27" t="s">
        <v>110</v>
      </c>
      <c r="L3" s="27" t="s">
        <v>111</v>
      </c>
      <c r="M3" s="27" t="s">
        <v>112</v>
      </c>
      <c r="N3" s="27" t="s">
        <v>113</v>
      </c>
      <c r="O3" s="27" t="s">
        <v>114</v>
      </c>
    </row>
    <row r="4" spans="1:15" x14ac:dyDescent="0.35">
      <c r="A4" t="s">
        <v>92</v>
      </c>
      <c r="B4" t="s">
        <v>115</v>
      </c>
      <c r="C4" t="s">
        <v>21</v>
      </c>
      <c r="D4" t="s">
        <v>94</v>
      </c>
      <c r="E4" t="s">
        <v>95</v>
      </c>
      <c r="F4" t="s">
        <v>96</v>
      </c>
      <c r="G4" t="s">
        <v>97</v>
      </c>
      <c r="H4" t="s">
        <v>116</v>
      </c>
      <c r="I4" t="s">
        <v>117</v>
      </c>
      <c r="J4" t="s">
        <v>118</v>
      </c>
      <c r="K4" t="s">
        <v>119</v>
      </c>
      <c r="L4" t="s">
        <v>120</v>
      </c>
      <c r="M4" t="s">
        <v>121</v>
      </c>
      <c r="N4" t="s">
        <v>122</v>
      </c>
      <c r="O4" t="s">
        <v>123</v>
      </c>
    </row>
    <row r="5" spans="1:15" x14ac:dyDescent="0.35">
      <c r="A5" t="s">
        <v>92</v>
      </c>
      <c r="B5" t="s">
        <v>124</v>
      </c>
      <c r="C5" t="s">
        <v>21</v>
      </c>
      <c r="D5" t="s">
        <v>94</v>
      </c>
      <c r="E5" t="s">
        <v>95</v>
      </c>
      <c r="F5" t="s">
        <v>96</v>
      </c>
      <c r="G5" t="s">
        <v>97</v>
      </c>
      <c r="H5" t="s">
        <v>125</v>
      </c>
      <c r="I5" t="s">
        <v>126</v>
      </c>
      <c r="J5" t="s">
        <v>127</v>
      </c>
      <c r="K5" t="s">
        <v>128</v>
      </c>
      <c r="L5" t="s">
        <v>129</v>
      </c>
      <c r="M5" t="s">
        <v>130</v>
      </c>
      <c r="N5" t="s">
        <v>131</v>
      </c>
      <c r="O5" t="s">
        <v>132</v>
      </c>
    </row>
    <row r="6" spans="1:15" x14ac:dyDescent="0.35">
      <c r="A6" t="s">
        <v>92</v>
      </c>
      <c r="B6" t="s">
        <v>133</v>
      </c>
      <c r="C6" t="s">
        <v>21</v>
      </c>
      <c r="D6" t="s">
        <v>94</v>
      </c>
      <c r="E6" t="s">
        <v>95</v>
      </c>
      <c r="F6" t="s">
        <v>96</v>
      </c>
      <c r="G6" t="s">
        <v>97</v>
      </c>
      <c r="H6" t="s">
        <v>134</v>
      </c>
      <c r="I6" t="s">
        <v>135</v>
      </c>
      <c r="J6" t="s">
        <v>136</v>
      </c>
      <c r="K6" t="s">
        <v>137</v>
      </c>
      <c r="L6" t="s">
        <v>138</v>
      </c>
      <c r="M6" t="s">
        <v>139</v>
      </c>
      <c r="N6" t="s">
        <v>140</v>
      </c>
      <c r="O6" t="s">
        <v>141</v>
      </c>
    </row>
    <row r="7" spans="1:15" x14ac:dyDescent="0.35">
      <c r="A7" t="s">
        <v>92</v>
      </c>
      <c r="B7" t="s">
        <v>142</v>
      </c>
      <c r="C7" t="s">
        <v>21</v>
      </c>
      <c r="D7" t="s">
        <v>94</v>
      </c>
      <c r="E7" t="s">
        <v>95</v>
      </c>
      <c r="F7" t="s">
        <v>96</v>
      </c>
      <c r="G7" t="s">
        <v>97</v>
      </c>
      <c r="H7" t="s">
        <v>143</v>
      </c>
      <c r="I7" t="s">
        <v>144</v>
      </c>
      <c r="J7" t="s">
        <v>145</v>
      </c>
      <c r="K7" t="s">
        <v>146</v>
      </c>
      <c r="L7" t="s">
        <v>147</v>
      </c>
      <c r="M7" t="s">
        <v>148</v>
      </c>
      <c r="N7" t="s">
        <v>149</v>
      </c>
      <c r="O7" t="s">
        <v>150</v>
      </c>
    </row>
    <row r="8" spans="1:15" x14ac:dyDescent="0.35">
      <c r="A8" t="s">
        <v>92</v>
      </c>
      <c r="B8" t="s">
        <v>151</v>
      </c>
      <c r="C8" t="s">
        <v>21</v>
      </c>
      <c r="D8" t="s">
        <v>94</v>
      </c>
      <c r="E8" t="s">
        <v>95</v>
      </c>
      <c r="F8" t="s">
        <v>96</v>
      </c>
      <c r="G8" t="s">
        <v>97</v>
      </c>
      <c r="H8" t="s">
        <v>152</v>
      </c>
      <c r="I8" t="s">
        <v>153</v>
      </c>
      <c r="J8" t="s">
        <v>154</v>
      </c>
      <c r="K8" t="s">
        <v>155</v>
      </c>
      <c r="L8" t="s">
        <v>156</v>
      </c>
      <c r="M8" t="s">
        <v>157</v>
      </c>
      <c r="N8" t="s">
        <v>158</v>
      </c>
      <c r="O8" t="s">
        <v>159</v>
      </c>
    </row>
    <row r="9" spans="1:15" x14ac:dyDescent="0.35">
      <c r="A9" t="s">
        <v>92</v>
      </c>
      <c r="B9" t="s">
        <v>160</v>
      </c>
      <c r="C9" t="s">
        <v>21</v>
      </c>
      <c r="D9" t="s">
        <v>94</v>
      </c>
      <c r="E9" t="s">
        <v>95</v>
      </c>
      <c r="F9" t="s">
        <v>96</v>
      </c>
      <c r="G9" t="s">
        <v>97</v>
      </c>
      <c r="H9" t="s">
        <v>161</v>
      </c>
      <c r="I9" t="s">
        <v>162</v>
      </c>
      <c r="J9" t="s">
        <v>163</v>
      </c>
      <c r="K9" t="s">
        <v>164</v>
      </c>
      <c r="L9" t="s">
        <v>165</v>
      </c>
      <c r="M9" t="s">
        <v>166</v>
      </c>
      <c r="N9" t="s">
        <v>167</v>
      </c>
      <c r="O9" t="s">
        <v>168</v>
      </c>
    </row>
    <row r="10" spans="1:15" x14ac:dyDescent="0.35">
      <c r="A10" t="s">
        <v>92</v>
      </c>
      <c r="B10" t="s">
        <v>68</v>
      </c>
      <c r="C10" t="s">
        <v>21</v>
      </c>
      <c r="D10" t="s">
        <v>94</v>
      </c>
      <c r="E10" t="s">
        <v>95</v>
      </c>
      <c r="F10" t="s">
        <v>96</v>
      </c>
      <c r="G10" t="s">
        <v>97</v>
      </c>
      <c r="H10" t="s">
        <v>169</v>
      </c>
      <c r="I10" t="s">
        <v>170</v>
      </c>
      <c r="J10" t="s">
        <v>171</v>
      </c>
      <c r="K10" t="s">
        <v>172</v>
      </c>
      <c r="L10" t="s">
        <v>173</v>
      </c>
      <c r="M10" t="s">
        <v>174</v>
      </c>
      <c r="N10" t="s">
        <v>175</v>
      </c>
      <c r="O10" t="s">
        <v>176</v>
      </c>
    </row>
    <row r="11" spans="1:15" x14ac:dyDescent="0.35">
      <c r="A11" t="s">
        <v>92</v>
      </c>
      <c r="B11" t="s">
        <v>177</v>
      </c>
      <c r="C11" t="s">
        <v>21</v>
      </c>
      <c r="D11" t="s">
        <v>94</v>
      </c>
      <c r="E11" t="s">
        <v>95</v>
      </c>
      <c r="F11" t="s">
        <v>96</v>
      </c>
      <c r="G11" t="s">
        <v>97</v>
      </c>
      <c r="H11" t="s">
        <v>178</v>
      </c>
      <c r="I11" t="s">
        <v>179</v>
      </c>
      <c r="J11" t="s">
        <v>180</v>
      </c>
      <c r="K11" t="s">
        <v>181</v>
      </c>
      <c r="L11" t="s">
        <v>182</v>
      </c>
      <c r="M11" t="s">
        <v>183</v>
      </c>
      <c r="N11" t="s">
        <v>184</v>
      </c>
      <c r="O11" t="s">
        <v>185</v>
      </c>
    </row>
    <row r="12" spans="1:15" x14ac:dyDescent="0.35">
      <c r="A12" t="s">
        <v>92</v>
      </c>
      <c r="B12" t="s">
        <v>186</v>
      </c>
      <c r="C12" t="s">
        <v>21</v>
      </c>
      <c r="D12" t="s">
        <v>94</v>
      </c>
      <c r="E12" t="s">
        <v>95</v>
      </c>
      <c r="F12" t="s">
        <v>96</v>
      </c>
      <c r="G12" t="s">
        <v>97</v>
      </c>
      <c r="H12" t="s">
        <v>187</v>
      </c>
      <c r="I12" t="s">
        <v>188</v>
      </c>
      <c r="J12" t="s">
        <v>189</v>
      </c>
      <c r="K12" t="s">
        <v>190</v>
      </c>
      <c r="L12" t="s">
        <v>191</v>
      </c>
      <c r="M12" t="s">
        <v>192</v>
      </c>
      <c r="N12" t="s">
        <v>193</v>
      </c>
      <c r="O12" t="s">
        <v>194</v>
      </c>
    </row>
    <row r="13" spans="1:15" x14ac:dyDescent="0.35">
      <c r="A13" t="s">
        <v>92</v>
      </c>
      <c r="B13" t="s">
        <v>195</v>
      </c>
      <c r="C13" t="s">
        <v>21</v>
      </c>
      <c r="D13" t="s">
        <v>94</v>
      </c>
      <c r="E13" t="s">
        <v>95</v>
      </c>
      <c r="F13" t="s">
        <v>96</v>
      </c>
      <c r="G13" t="s">
        <v>97</v>
      </c>
      <c r="H13" t="s">
        <v>196</v>
      </c>
      <c r="I13" t="s">
        <v>197</v>
      </c>
      <c r="J13" t="s">
        <v>198</v>
      </c>
      <c r="K13" t="s">
        <v>199</v>
      </c>
      <c r="L13" t="s">
        <v>200</v>
      </c>
      <c r="M13" t="s">
        <v>201</v>
      </c>
      <c r="N13" t="s">
        <v>202</v>
      </c>
      <c r="O13" t="s">
        <v>203</v>
      </c>
    </row>
    <row r="14" spans="1:15" x14ac:dyDescent="0.35">
      <c r="A14" t="s">
        <v>92</v>
      </c>
      <c r="B14" t="s">
        <v>204</v>
      </c>
      <c r="C14" t="s">
        <v>21</v>
      </c>
      <c r="D14" t="s">
        <v>94</v>
      </c>
      <c r="E14" t="s">
        <v>95</v>
      </c>
      <c r="F14" t="s">
        <v>96</v>
      </c>
      <c r="G14" t="s">
        <v>97</v>
      </c>
      <c r="H14" t="s">
        <v>205</v>
      </c>
      <c r="I14" t="s">
        <v>206</v>
      </c>
      <c r="J14" t="s">
        <v>207</v>
      </c>
      <c r="K14" t="s">
        <v>208</v>
      </c>
      <c r="L14" t="s">
        <v>209</v>
      </c>
      <c r="M14" t="s">
        <v>210</v>
      </c>
      <c r="N14" t="s">
        <v>211</v>
      </c>
      <c r="O14" t="s">
        <v>212</v>
      </c>
    </row>
    <row r="15" spans="1:15" x14ac:dyDescent="0.35">
      <c r="A15" t="s">
        <v>92</v>
      </c>
      <c r="B15" t="s">
        <v>213</v>
      </c>
      <c r="C15" t="s">
        <v>21</v>
      </c>
      <c r="D15" t="s">
        <v>94</v>
      </c>
      <c r="E15" t="s">
        <v>95</v>
      </c>
      <c r="F15" t="s">
        <v>96</v>
      </c>
      <c r="G15" t="s">
        <v>97</v>
      </c>
      <c r="H15" t="s">
        <v>214</v>
      </c>
      <c r="I15" t="s">
        <v>215</v>
      </c>
      <c r="J15" t="s">
        <v>216</v>
      </c>
      <c r="K15" t="s">
        <v>217</v>
      </c>
      <c r="L15" t="s">
        <v>218</v>
      </c>
      <c r="M15" t="s">
        <v>219</v>
      </c>
      <c r="N15" t="s">
        <v>220</v>
      </c>
      <c r="O15" t="s">
        <v>221</v>
      </c>
    </row>
    <row r="16" spans="1:15" x14ac:dyDescent="0.35">
      <c r="A16" t="s">
        <v>92</v>
      </c>
      <c r="B16" t="s">
        <v>222</v>
      </c>
      <c r="C16" t="s">
        <v>21</v>
      </c>
      <c r="D16" t="s">
        <v>94</v>
      </c>
      <c r="E16" t="s">
        <v>95</v>
      </c>
      <c r="F16" t="s">
        <v>96</v>
      </c>
      <c r="G16" t="s">
        <v>97</v>
      </c>
      <c r="H16" t="s">
        <v>223</v>
      </c>
      <c r="I16" t="s">
        <v>224</v>
      </c>
      <c r="J16" t="s">
        <v>225</v>
      </c>
      <c r="K16" t="s">
        <v>226</v>
      </c>
      <c r="L16" t="s">
        <v>227</v>
      </c>
      <c r="M16" t="s">
        <v>228</v>
      </c>
      <c r="N16" t="s">
        <v>229</v>
      </c>
      <c r="O16" t="s">
        <v>230</v>
      </c>
    </row>
    <row r="17" spans="1:15" x14ac:dyDescent="0.35">
      <c r="A17" t="s">
        <v>92</v>
      </c>
      <c r="B17" t="s">
        <v>231</v>
      </c>
      <c r="C17" t="s">
        <v>21</v>
      </c>
      <c r="D17" t="s">
        <v>94</v>
      </c>
      <c r="E17" t="s">
        <v>95</v>
      </c>
      <c r="F17" t="s">
        <v>96</v>
      </c>
      <c r="G17" t="s">
        <v>97</v>
      </c>
      <c r="H17" t="s">
        <v>232</v>
      </c>
      <c r="I17" t="s">
        <v>233</v>
      </c>
      <c r="J17" t="s">
        <v>234</v>
      </c>
      <c r="K17" t="s">
        <v>235</v>
      </c>
      <c r="L17" t="s">
        <v>236</v>
      </c>
      <c r="M17" t="s">
        <v>237</v>
      </c>
      <c r="N17" t="s">
        <v>238</v>
      </c>
      <c r="O17" t="s">
        <v>239</v>
      </c>
    </row>
    <row r="18" spans="1:15" x14ac:dyDescent="0.35">
      <c r="A18" t="s">
        <v>92</v>
      </c>
      <c r="B18" t="s">
        <v>240</v>
      </c>
      <c r="C18" t="s">
        <v>21</v>
      </c>
      <c r="D18" t="s">
        <v>94</v>
      </c>
      <c r="E18" t="s">
        <v>95</v>
      </c>
      <c r="F18" t="s">
        <v>96</v>
      </c>
      <c r="G18" t="s">
        <v>97</v>
      </c>
      <c r="H18" t="s">
        <v>241</v>
      </c>
      <c r="I18" t="s">
        <v>242</v>
      </c>
      <c r="J18" t="s">
        <v>243</v>
      </c>
      <c r="K18" t="s">
        <v>244</v>
      </c>
      <c r="L18" t="s">
        <v>245</v>
      </c>
      <c r="M18" t="s">
        <v>246</v>
      </c>
      <c r="N18" t="s">
        <v>247</v>
      </c>
      <c r="O18" t="s">
        <v>248</v>
      </c>
    </row>
    <row r="19" spans="1:15" x14ac:dyDescent="0.35">
      <c r="A19" t="s">
        <v>92</v>
      </c>
      <c r="B19" t="s">
        <v>249</v>
      </c>
      <c r="C19" t="s">
        <v>21</v>
      </c>
      <c r="D19" t="s">
        <v>94</v>
      </c>
      <c r="E19" t="s">
        <v>95</v>
      </c>
      <c r="F19" t="s">
        <v>96</v>
      </c>
      <c r="G19" t="s">
        <v>97</v>
      </c>
      <c r="H19" t="s">
        <v>250</v>
      </c>
      <c r="I19" t="s">
        <v>251</v>
      </c>
      <c r="J19" t="s">
        <v>252</v>
      </c>
      <c r="K19" t="s">
        <v>253</v>
      </c>
      <c r="L19" t="s">
        <v>254</v>
      </c>
      <c r="M19" t="s">
        <v>255</v>
      </c>
      <c r="N19" t="s">
        <v>256</v>
      </c>
      <c r="O19" t="s">
        <v>257</v>
      </c>
    </row>
    <row r="20" spans="1:15" x14ac:dyDescent="0.35">
      <c r="A20" t="s">
        <v>92</v>
      </c>
      <c r="B20" t="s">
        <v>258</v>
      </c>
      <c r="C20" t="s">
        <v>21</v>
      </c>
      <c r="D20" t="s">
        <v>94</v>
      </c>
      <c r="E20" t="s">
        <v>95</v>
      </c>
      <c r="F20" t="s">
        <v>96</v>
      </c>
      <c r="G20" t="s">
        <v>97</v>
      </c>
      <c r="H20" t="s">
        <v>259</v>
      </c>
      <c r="I20" t="s">
        <v>260</v>
      </c>
      <c r="J20" t="s">
        <v>261</v>
      </c>
      <c r="K20" t="s">
        <v>262</v>
      </c>
      <c r="L20" t="s">
        <v>263</v>
      </c>
      <c r="M20" t="s">
        <v>264</v>
      </c>
      <c r="N20" t="s">
        <v>265</v>
      </c>
      <c r="O20" t="s">
        <v>266</v>
      </c>
    </row>
    <row r="21" spans="1:15" x14ac:dyDescent="0.35">
      <c r="A21" t="s">
        <v>92</v>
      </c>
      <c r="B21" t="s">
        <v>267</v>
      </c>
      <c r="C21" t="s">
        <v>21</v>
      </c>
      <c r="D21" t="s">
        <v>94</v>
      </c>
      <c r="E21" t="s">
        <v>95</v>
      </c>
      <c r="F21" t="s">
        <v>96</v>
      </c>
      <c r="G21" t="s">
        <v>97</v>
      </c>
      <c r="H21" t="s">
        <v>268</v>
      </c>
      <c r="I21" t="s">
        <v>269</v>
      </c>
      <c r="J21" t="s">
        <v>270</v>
      </c>
      <c r="K21" t="s">
        <v>271</v>
      </c>
      <c r="L21" t="s">
        <v>272</v>
      </c>
      <c r="M21" t="s">
        <v>273</v>
      </c>
      <c r="N21" t="s">
        <v>274</v>
      </c>
      <c r="O21" t="s">
        <v>275</v>
      </c>
    </row>
    <row r="22" spans="1:15" x14ac:dyDescent="0.35">
      <c r="A22" t="s">
        <v>92</v>
      </c>
      <c r="B22" t="s">
        <v>276</v>
      </c>
      <c r="C22" t="s">
        <v>21</v>
      </c>
      <c r="D22" t="s">
        <v>94</v>
      </c>
      <c r="E22" t="s">
        <v>95</v>
      </c>
      <c r="F22" t="s">
        <v>96</v>
      </c>
      <c r="G22" t="s">
        <v>97</v>
      </c>
      <c r="H22" t="s">
        <v>277</v>
      </c>
      <c r="I22" t="s">
        <v>278</v>
      </c>
      <c r="J22" t="s">
        <v>279</v>
      </c>
      <c r="K22" t="s">
        <v>280</v>
      </c>
      <c r="L22" t="s">
        <v>281</v>
      </c>
      <c r="M22" t="s">
        <v>282</v>
      </c>
      <c r="N22" t="s">
        <v>283</v>
      </c>
      <c r="O22" t="s">
        <v>284</v>
      </c>
    </row>
    <row r="23" spans="1:15" x14ac:dyDescent="0.35">
      <c r="A23" t="s">
        <v>92</v>
      </c>
      <c r="B23" t="s">
        <v>285</v>
      </c>
      <c r="C23" t="s">
        <v>21</v>
      </c>
      <c r="D23" t="s">
        <v>94</v>
      </c>
      <c r="E23" t="s">
        <v>95</v>
      </c>
      <c r="F23" t="s">
        <v>96</v>
      </c>
      <c r="G23" t="s">
        <v>97</v>
      </c>
      <c r="H23" t="s">
        <v>286</v>
      </c>
      <c r="I23" t="s">
        <v>287</v>
      </c>
      <c r="J23" t="s">
        <v>288</v>
      </c>
      <c r="K23" t="s">
        <v>289</v>
      </c>
      <c r="L23" t="s">
        <v>290</v>
      </c>
      <c r="M23" t="s">
        <v>291</v>
      </c>
      <c r="N23" t="s">
        <v>292</v>
      </c>
      <c r="O23" t="s">
        <v>293</v>
      </c>
    </row>
    <row r="24" spans="1:15" x14ac:dyDescent="0.35">
      <c r="A24" t="s">
        <v>92</v>
      </c>
      <c r="B24" t="s">
        <v>294</v>
      </c>
      <c r="C24" t="s">
        <v>21</v>
      </c>
      <c r="D24" t="s">
        <v>94</v>
      </c>
      <c r="E24" t="s">
        <v>95</v>
      </c>
      <c r="F24" t="s">
        <v>96</v>
      </c>
      <c r="G24" t="s">
        <v>97</v>
      </c>
      <c r="H24" t="s">
        <v>295</v>
      </c>
      <c r="I24" t="s">
        <v>296</v>
      </c>
      <c r="J24" t="s">
        <v>297</v>
      </c>
      <c r="K24" t="s">
        <v>298</v>
      </c>
      <c r="L24" t="s">
        <v>299</v>
      </c>
      <c r="M24" t="s">
        <v>300</v>
      </c>
      <c r="N24" t="s">
        <v>301</v>
      </c>
      <c r="O24" t="s">
        <v>302</v>
      </c>
    </row>
    <row r="25" spans="1:15" x14ac:dyDescent="0.35">
      <c r="A25" t="s">
        <v>92</v>
      </c>
      <c r="B25" t="s">
        <v>303</v>
      </c>
      <c r="C25" t="s">
        <v>21</v>
      </c>
      <c r="D25" t="s">
        <v>94</v>
      </c>
      <c r="E25" t="s">
        <v>95</v>
      </c>
      <c r="F25" t="s">
        <v>96</v>
      </c>
      <c r="G25" t="s">
        <v>97</v>
      </c>
      <c r="H25" t="s">
        <v>304</v>
      </c>
      <c r="I25" t="s">
        <v>305</v>
      </c>
      <c r="J25" t="s">
        <v>306</v>
      </c>
      <c r="K25" t="s">
        <v>307</v>
      </c>
      <c r="L25" t="s">
        <v>308</v>
      </c>
      <c r="M25" t="s">
        <v>309</v>
      </c>
      <c r="N25" t="s">
        <v>310</v>
      </c>
      <c r="O25" t="s">
        <v>311</v>
      </c>
    </row>
    <row r="26" spans="1:15" x14ac:dyDescent="0.35">
      <c r="A26" t="s">
        <v>92</v>
      </c>
      <c r="B26" t="s">
        <v>312</v>
      </c>
      <c r="C26" t="s">
        <v>21</v>
      </c>
      <c r="D26" t="s">
        <v>94</v>
      </c>
      <c r="E26" t="s">
        <v>95</v>
      </c>
      <c r="F26" t="s">
        <v>96</v>
      </c>
      <c r="G26" t="s">
        <v>97</v>
      </c>
      <c r="H26" t="s">
        <v>313</v>
      </c>
      <c r="I26" t="s">
        <v>314</v>
      </c>
      <c r="J26" t="s">
        <v>315</v>
      </c>
      <c r="K26" t="s">
        <v>316</v>
      </c>
      <c r="L26" t="s">
        <v>317</v>
      </c>
      <c r="M26" t="s">
        <v>318</v>
      </c>
      <c r="N26" t="s">
        <v>319</v>
      </c>
      <c r="O26" t="s">
        <v>320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8225E-15B3-4125-9CEB-50EA49796C88}">
  <dimension ref="A1:T26"/>
  <sheetViews>
    <sheetView workbookViewId="0">
      <selection activeCell="U1" sqref="U1"/>
    </sheetView>
  </sheetViews>
  <sheetFormatPr defaultRowHeight="14.5" x14ac:dyDescent="0.35"/>
  <sheetData>
    <row r="1" spans="1:20" x14ac:dyDescent="0.35">
      <c r="A1" t="s">
        <v>85</v>
      </c>
      <c r="B1" t="s">
        <v>86</v>
      </c>
      <c r="C1" t="s">
        <v>87</v>
      </c>
      <c r="D1" t="s">
        <v>88</v>
      </c>
      <c r="E1" t="s">
        <v>89</v>
      </c>
      <c r="F1" t="s">
        <v>90</v>
      </c>
      <c r="G1" t="s">
        <v>91</v>
      </c>
      <c r="H1" t="s">
        <v>321</v>
      </c>
      <c r="I1" t="s">
        <v>322</v>
      </c>
      <c r="J1" t="s">
        <v>323</v>
      </c>
      <c r="K1" t="s">
        <v>324</v>
      </c>
      <c r="L1" t="s">
        <v>325</v>
      </c>
      <c r="M1">
        <v>2018</v>
      </c>
      <c r="N1">
        <v>2019</v>
      </c>
      <c r="O1">
        <v>2020</v>
      </c>
      <c r="P1">
        <v>2021</v>
      </c>
      <c r="Q1">
        <v>2022</v>
      </c>
      <c r="R1">
        <v>2023</v>
      </c>
      <c r="S1">
        <v>2024</v>
      </c>
      <c r="T1">
        <v>2025</v>
      </c>
    </row>
    <row r="2" spans="1:20" x14ac:dyDescent="0.35">
      <c r="A2" s="27" t="s">
        <v>514</v>
      </c>
      <c r="B2" s="27" t="s">
        <v>106</v>
      </c>
      <c r="C2" s="27" t="s">
        <v>515</v>
      </c>
      <c r="D2" s="27" t="s">
        <v>94</v>
      </c>
      <c r="E2" s="27" t="s">
        <v>95</v>
      </c>
      <c r="F2" s="27" t="s">
        <v>516</v>
      </c>
      <c r="G2" s="27" t="s">
        <v>97</v>
      </c>
      <c r="H2" s="27" t="s">
        <v>327</v>
      </c>
      <c r="I2" s="27"/>
      <c r="J2" s="27" t="s">
        <v>329</v>
      </c>
      <c r="K2" s="27" t="s">
        <v>517</v>
      </c>
      <c r="L2" s="27"/>
      <c r="M2" s="27" t="s">
        <v>518</v>
      </c>
      <c r="N2" s="27" t="s">
        <v>519</v>
      </c>
      <c r="O2" s="27" t="s">
        <v>520</v>
      </c>
      <c r="P2" s="27" t="s">
        <v>521</v>
      </c>
      <c r="Q2" s="27" t="s">
        <v>522</v>
      </c>
      <c r="R2" s="27" t="s">
        <v>523</v>
      </c>
      <c r="S2" s="27" t="s">
        <v>524</v>
      </c>
      <c r="T2" s="27" t="s">
        <v>525</v>
      </c>
    </row>
    <row r="3" spans="1:20" x14ac:dyDescent="0.35">
      <c r="A3" t="s">
        <v>514</v>
      </c>
      <c r="B3" t="s">
        <v>124</v>
      </c>
      <c r="C3" t="s">
        <v>515</v>
      </c>
      <c r="D3" t="s">
        <v>94</v>
      </c>
      <c r="E3" t="s">
        <v>95</v>
      </c>
      <c r="F3" t="s">
        <v>516</v>
      </c>
      <c r="G3" t="s">
        <v>97</v>
      </c>
      <c r="H3" t="s">
        <v>327</v>
      </c>
      <c r="I3" t="s">
        <v>328</v>
      </c>
      <c r="J3" t="s">
        <v>329</v>
      </c>
      <c r="K3" t="s">
        <v>526</v>
      </c>
      <c r="M3" t="s">
        <v>527</v>
      </c>
      <c r="N3" t="s">
        <v>528</v>
      </c>
      <c r="O3" t="s">
        <v>529</v>
      </c>
      <c r="P3" t="s">
        <v>530</v>
      </c>
      <c r="Q3" t="s">
        <v>531</v>
      </c>
      <c r="R3" t="s">
        <v>532</v>
      </c>
      <c r="S3" t="s">
        <v>533</v>
      </c>
      <c r="T3" t="s">
        <v>534</v>
      </c>
    </row>
    <row r="4" spans="1:20" x14ac:dyDescent="0.35">
      <c r="A4" t="s">
        <v>514</v>
      </c>
      <c r="B4" t="s">
        <v>312</v>
      </c>
      <c r="C4" t="s">
        <v>515</v>
      </c>
      <c r="D4" t="s">
        <v>94</v>
      </c>
      <c r="E4" t="s">
        <v>95</v>
      </c>
      <c r="F4" t="s">
        <v>516</v>
      </c>
      <c r="G4" t="s">
        <v>97</v>
      </c>
      <c r="H4" t="s">
        <v>327</v>
      </c>
      <c r="J4" t="s">
        <v>329</v>
      </c>
      <c r="K4" t="s">
        <v>526</v>
      </c>
      <c r="M4" t="s">
        <v>535</v>
      </c>
      <c r="N4" t="s">
        <v>536</v>
      </c>
      <c r="O4" t="s">
        <v>537</v>
      </c>
      <c r="P4" t="s">
        <v>538</v>
      </c>
      <c r="Q4" t="s">
        <v>539</v>
      </c>
      <c r="R4" t="s">
        <v>540</v>
      </c>
      <c r="S4" t="s">
        <v>541</v>
      </c>
      <c r="T4" t="s">
        <v>542</v>
      </c>
    </row>
    <row r="5" spans="1:20" x14ac:dyDescent="0.35">
      <c r="A5" t="s">
        <v>514</v>
      </c>
      <c r="B5" t="s">
        <v>115</v>
      </c>
      <c r="C5" t="s">
        <v>515</v>
      </c>
      <c r="D5" t="s">
        <v>94</v>
      </c>
      <c r="E5" t="s">
        <v>95</v>
      </c>
      <c r="F5" t="s">
        <v>516</v>
      </c>
      <c r="G5" t="s">
        <v>97</v>
      </c>
      <c r="H5" t="s">
        <v>327</v>
      </c>
      <c r="J5" t="s">
        <v>329</v>
      </c>
      <c r="K5" t="s">
        <v>526</v>
      </c>
      <c r="M5" t="s">
        <v>543</v>
      </c>
      <c r="N5" t="s">
        <v>544</v>
      </c>
      <c r="O5" t="s">
        <v>545</v>
      </c>
      <c r="P5" t="s">
        <v>546</v>
      </c>
      <c r="Q5" t="s">
        <v>547</v>
      </c>
      <c r="R5" t="s">
        <v>548</v>
      </c>
      <c r="S5" t="s">
        <v>549</v>
      </c>
      <c r="T5" t="s">
        <v>550</v>
      </c>
    </row>
    <row r="6" spans="1:20" x14ac:dyDescent="0.35">
      <c r="A6" t="s">
        <v>514</v>
      </c>
      <c r="B6" t="s">
        <v>276</v>
      </c>
      <c r="C6" t="s">
        <v>515</v>
      </c>
      <c r="D6" t="s">
        <v>94</v>
      </c>
      <c r="E6" t="s">
        <v>95</v>
      </c>
      <c r="F6" t="s">
        <v>516</v>
      </c>
      <c r="G6" t="s">
        <v>97</v>
      </c>
      <c r="H6" t="s">
        <v>327</v>
      </c>
      <c r="I6" t="s">
        <v>328</v>
      </c>
      <c r="J6" t="s">
        <v>329</v>
      </c>
      <c r="K6" t="s">
        <v>526</v>
      </c>
      <c r="M6" t="s">
        <v>552</v>
      </c>
      <c r="N6" t="s">
        <v>553</v>
      </c>
      <c r="O6" t="s">
        <v>554</v>
      </c>
      <c r="P6" t="s">
        <v>555</v>
      </c>
      <c r="Q6" t="s">
        <v>556</v>
      </c>
      <c r="R6" t="s">
        <v>557</v>
      </c>
      <c r="S6" t="s">
        <v>558</v>
      </c>
      <c r="T6" t="s">
        <v>559</v>
      </c>
    </row>
    <row r="7" spans="1:20" x14ac:dyDescent="0.35">
      <c r="A7" t="s">
        <v>514</v>
      </c>
      <c r="B7" t="s">
        <v>294</v>
      </c>
      <c r="C7" t="s">
        <v>515</v>
      </c>
      <c r="D7" t="s">
        <v>94</v>
      </c>
      <c r="E7" t="s">
        <v>95</v>
      </c>
      <c r="F7" t="s">
        <v>516</v>
      </c>
      <c r="G7" t="s">
        <v>97</v>
      </c>
      <c r="H7" t="s">
        <v>327</v>
      </c>
      <c r="J7" t="s">
        <v>329</v>
      </c>
      <c r="K7" t="s">
        <v>526</v>
      </c>
      <c r="M7" t="s">
        <v>560</v>
      </c>
      <c r="N7" t="s">
        <v>561</v>
      </c>
      <c r="O7" t="s">
        <v>562</v>
      </c>
      <c r="P7" t="s">
        <v>563</v>
      </c>
      <c r="Q7" t="s">
        <v>564</v>
      </c>
      <c r="R7" t="s">
        <v>565</v>
      </c>
      <c r="S7" t="s">
        <v>566</v>
      </c>
      <c r="T7" t="s">
        <v>567</v>
      </c>
    </row>
    <row r="8" spans="1:20" x14ac:dyDescent="0.35">
      <c r="A8" t="s">
        <v>514</v>
      </c>
      <c r="B8" t="s">
        <v>267</v>
      </c>
      <c r="C8" t="s">
        <v>515</v>
      </c>
      <c r="D8" t="s">
        <v>94</v>
      </c>
      <c r="E8" t="s">
        <v>95</v>
      </c>
      <c r="F8" t="s">
        <v>516</v>
      </c>
      <c r="G8" t="s">
        <v>97</v>
      </c>
      <c r="H8" t="s">
        <v>327</v>
      </c>
      <c r="J8" t="s">
        <v>329</v>
      </c>
      <c r="K8" t="s">
        <v>526</v>
      </c>
      <c r="M8" t="s">
        <v>568</v>
      </c>
      <c r="N8" t="s">
        <v>569</v>
      </c>
      <c r="O8" t="s">
        <v>570</v>
      </c>
      <c r="P8" t="s">
        <v>571</v>
      </c>
      <c r="Q8" t="s">
        <v>572</v>
      </c>
      <c r="R8" t="s">
        <v>573</v>
      </c>
      <c r="S8" t="s">
        <v>574</v>
      </c>
      <c r="T8" t="s">
        <v>575</v>
      </c>
    </row>
    <row r="9" spans="1:20" x14ac:dyDescent="0.35">
      <c r="A9" t="s">
        <v>514</v>
      </c>
      <c r="B9" t="s">
        <v>151</v>
      </c>
      <c r="C9" t="s">
        <v>515</v>
      </c>
      <c r="D9" t="s">
        <v>94</v>
      </c>
      <c r="E9" t="s">
        <v>95</v>
      </c>
      <c r="F9" t="s">
        <v>516</v>
      </c>
      <c r="G9" t="s">
        <v>97</v>
      </c>
      <c r="H9" t="s">
        <v>327</v>
      </c>
      <c r="I9" t="s">
        <v>328</v>
      </c>
      <c r="J9" t="s">
        <v>329</v>
      </c>
      <c r="K9" t="s">
        <v>526</v>
      </c>
      <c r="M9" t="s">
        <v>576</v>
      </c>
      <c r="N9" t="s">
        <v>577</v>
      </c>
      <c r="O9" t="s">
        <v>578</v>
      </c>
      <c r="P9" t="s">
        <v>579</v>
      </c>
      <c r="Q9" t="s">
        <v>580</v>
      </c>
      <c r="R9" t="s">
        <v>581</v>
      </c>
      <c r="S9" t="s">
        <v>582</v>
      </c>
      <c r="T9" t="s">
        <v>583</v>
      </c>
    </row>
    <row r="10" spans="1:20" x14ac:dyDescent="0.35">
      <c r="A10" t="s">
        <v>514</v>
      </c>
      <c r="B10" t="s">
        <v>195</v>
      </c>
      <c r="C10" t="s">
        <v>515</v>
      </c>
      <c r="D10" t="s">
        <v>94</v>
      </c>
      <c r="E10" t="s">
        <v>95</v>
      </c>
      <c r="F10" t="s">
        <v>516</v>
      </c>
      <c r="G10" t="s">
        <v>97</v>
      </c>
      <c r="H10" t="s">
        <v>327</v>
      </c>
      <c r="J10" t="s">
        <v>329</v>
      </c>
      <c r="K10" t="s">
        <v>526</v>
      </c>
      <c r="M10" t="s">
        <v>584</v>
      </c>
      <c r="N10" t="s">
        <v>585</v>
      </c>
      <c r="O10" t="s">
        <v>586</v>
      </c>
      <c r="P10" t="s">
        <v>587</v>
      </c>
      <c r="Q10" t="s">
        <v>588</v>
      </c>
      <c r="R10" t="s">
        <v>589</v>
      </c>
      <c r="S10" t="s">
        <v>590</v>
      </c>
      <c r="T10" t="s">
        <v>591</v>
      </c>
    </row>
    <row r="11" spans="1:20" x14ac:dyDescent="0.35">
      <c r="A11" t="s">
        <v>514</v>
      </c>
      <c r="B11" t="s">
        <v>133</v>
      </c>
      <c r="C11" t="s">
        <v>515</v>
      </c>
      <c r="D11" t="s">
        <v>94</v>
      </c>
      <c r="E11" t="s">
        <v>95</v>
      </c>
      <c r="F11" t="s">
        <v>516</v>
      </c>
      <c r="G11" t="s">
        <v>97</v>
      </c>
      <c r="H11" t="s">
        <v>327</v>
      </c>
      <c r="I11" t="s">
        <v>328</v>
      </c>
      <c r="J11" t="s">
        <v>329</v>
      </c>
      <c r="K11" t="s">
        <v>517</v>
      </c>
      <c r="M11" t="s">
        <v>592</v>
      </c>
      <c r="N11" t="s">
        <v>593</v>
      </c>
      <c r="O11" t="s">
        <v>594</v>
      </c>
      <c r="P11" t="s">
        <v>595</v>
      </c>
      <c r="Q11" t="s">
        <v>596</v>
      </c>
      <c r="R11" t="s">
        <v>597</v>
      </c>
      <c r="S11" t="s">
        <v>598</v>
      </c>
      <c r="T11" t="s">
        <v>599</v>
      </c>
    </row>
    <row r="12" spans="1:20" x14ac:dyDescent="0.35">
      <c r="A12" t="s">
        <v>514</v>
      </c>
      <c r="B12" t="s">
        <v>142</v>
      </c>
      <c r="C12" t="s">
        <v>515</v>
      </c>
      <c r="D12" t="s">
        <v>94</v>
      </c>
      <c r="E12" t="s">
        <v>95</v>
      </c>
      <c r="F12" t="s">
        <v>516</v>
      </c>
      <c r="G12" t="s">
        <v>97</v>
      </c>
      <c r="H12" t="s">
        <v>327</v>
      </c>
      <c r="J12" t="s">
        <v>329</v>
      </c>
      <c r="K12" t="s">
        <v>526</v>
      </c>
      <c r="M12" t="s">
        <v>600</v>
      </c>
      <c r="N12" t="s">
        <v>601</v>
      </c>
      <c r="O12" t="s">
        <v>602</v>
      </c>
      <c r="P12" t="s">
        <v>603</v>
      </c>
      <c r="Q12" t="s">
        <v>604</v>
      </c>
      <c r="R12" t="s">
        <v>605</v>
      </c>
      <c r="S12" t="s">
        <v>606</v>
      </c>
      <c r="T12" t="s">
        <v>607</v>
      </c>
    </row>
    <row r="13" spans="1:20" x14ac:dyDescent="0.35">
      <c r="A13" t="s">
        <v>514</v>
      </c>
      <c r="B13" t="s">
        <v>160</v>
      </c>
      <c r="C13" t="s">
        <v>515</v>
      </c>
      <c r="D13" t="s">
        <v>94</v>
      </c>
      <c r="E13" t="s">
        <v>95</v>
      </c>
      <c r="F13" t="s">
        <v>516</v>
      </c>
      <c r="G13" t="s">
        <v>97</v>
      </c>
      <c r="H13" t="s">
        <v>327</v>
      </c>
      <c r="I13" t="s">
        <v>328</v>
      </c>
      <c r="J13" t="s">
        <v>329</v>
      </c>
      <c r="K13" t="s">
        <v>526</v>
      </c>
      <c r="M13" t="s">
        <v>608</v>
      </c>
      <c r="N13" t="s">
        <v>609</v>
      </c>
      <c r="O13" t="s">
        <v>610</v>
      </c>
      <c r="P13" t="s">
        <v>611</v>
      </c>
      <c r="Q13" t="s">
        <v>612</v>
      </c>
      <c r="R13" t="s">
        <v>613</v>
      </c>
      <c r="S13" t="s">
        <v>614</v>
      </c>
      <c r="T13" t="s">
        <v>615</v>
      </c>
    </row>
    <row r="14" spans="1:20" x14ac:dyDescent="0.35">
      <c r="A14" t="s">
        <v>514</v>
      </c>
      <c r="B14" t="s">
        <v>204</v>
      </c>
      <c r="C14" t="s">
        <v>515</v>
      </c>
      <c r="D14" t="s">
        <v>94</v>
      </c>
      <c r="E14" t="s">
        <v>95</v>
      </c>
      <c r="F14" t="s">
        <v>516</v>
      </c>
      <c r="G14" t="s">
        <v>97</v>
      </c>
      <c r="H14" t="s">
        <v>327</v>
      </c>
      <c r="J14" t="s">
        <v>329</v>
      </c>
      <c r="K14" t="s">
        <v>526</v>
      </c>
      <c r="M14" t="s">
        <v>616</v>
      </c>
      <c r="N14" t="s">
        <v>617</v>
      </c>
      <c r="O14" t="s">
        <v>618</v>
      </c>
      <c r="P14" t="s">
        <v>619</v>
      </c>
      <c r="Q14" t="s">
        <v>620</v>
      </c>
      <c r="R14" t="s">
        <v>621</v>
      </c>
      <c r="S14" t="s">
        <v>622</v>
      </c>
      <c r="T14" t="s">
        <v>623</v>
      </c>
    </row>
    <row r="15" spans="1:20" x14ac:dyDescent="0.35">
      <c r="A15" t="s">
        <v>514</v>
      </c>
      <c r="B15" t="s">
        <v>93</v>
      </c>
      <c r="C15" t="s">
        <v>515</v>
      </c>
      <c r="D15" t="s">
        <v>94</v>
      </c>
      <c r="E15" t="s">
        <v>95</v>
      </c>
      <c r="F15" t="s">
        <v>516</v>
      </c>
      <c r="G15" t="s">
        <v>97</v>
      </c>
      <c r="H15" t="s">
        <v>327</v>
      </c>
      <c r="J15" t="s">
        <v>329</v>
      </c>
      <c r="K15" t="s">
        <v>526</v>
      </c>
      <c r="M15" t="s">
        <v>624</v>
      </c>
      <c r="N15" t="s">
        <v>625</v>
      </c>
      <c r="O15" t="s">
        <v>626</v>
      </c>
      <c r="P15" t="s">
        <v>627</v>
      </c>
      <c r="Q15" t="s">
        <v>628</v>
      </c>
      <c r="R15" t="s">
        <v>629</v>
      </c>
      <c r="S15" t="s">
        <v>630</v>
      </c>
      <c r="T15" t="s">
        <v>631</v>
      </c>
    </row>
    <row r="16" spans="1:20" x14ac:dyDescent="0.35">
      <c r="A16" t="s">
        <v>514</v>
      </c>
      <c r="B16" t="s">
        <v>222</v>
      </c>
      <c r="C16" t="s">
        <v>515</v>
      </c>
      <c r="D16" t="s">
        <v>94</v>
      </c>
      <c r="E16" t="s">
        <v>95</v>
      </c>
      <c r="F16" t="s">
        <v>516</v>
      </c>
      <c r="G16" t="s">
        <v>97</v>
      </c>
      <c r="H16" t="s">
        <v>327</v>
      </c>
      <c r="J16" t="s">
        <v>329</v>
      </c>
      <c r="K16" t="s">
        <v>526</v>
      </c>
      <c r="M16" t="s">
        <v>632</v>
      </c>
      <c r="N16" t="s">
        <v>633</v>
      </c>
      <c r="O16" t="s">
        <v>634</v>
      </c>
      <c r="P16" t="s">
        <v>635</v>
      </c>
      <c r="Q16" t="s">
        <v>636</v>
      </c>
      <c r="R16" t="s">
        <v>637</v>
      </c>
      <c r="S16" t="s">
        <v>638</v>
      </c>
      <c r="T16" t="s">
        <v>639</v>
      </c>
    </row>
    <row r="17" spans="1:20" x14ac:dyDescent="0.35">
      <c r="A17" t="s">
        <v>514</v>
      </c>
      <c r="B17" t="s">
        <v>213</v>
      </c>
      <c r="C17" t="s">
        <v>515</v>
      </c>
      <c r="D17" t="s">
        <v>94</v>
      </c>
      <c r="E17" t="s">
        <v>95</v>
      </c>
      <c r="F17" t="s">
        <v>516</v>
      </c>
      <c r="G17" t="s">
        <v>97</v>
      </c>
      <c r="H17" t="s">
        <v>327</v>
      </c>
      <c r="J17" t="s">
        <v>329</v>
      </c>
      <c r="K17" t="s">
        <v>526</v>
      </c>
      <c r="M17" t="s">
        <v>640</v>
      </c>
      <c r="N17" t="s">
        <v>641</v>
      </c>
      <c r="O17" t="s">
        <v>642</v>
      </c>
      <c r="P17" t="s">
        <v>643</v>
      </c>
      <c r="Q17" t="s">
        <v>644</v>
      </c>
      <c r="R17" t="s">
        <v>645</v>
      </c>
      <c r="S17" t="s">
        <v>646</v>
      </c>
      <c r="T17" t="s">
        <v>647</v>
      </c>
    </row>
    <row r="18" spans="1:20" x14ac:dyDescent="0.35">
      <c r="A18" t="s">
        <v>514</v>
      </c>
      <c r="B18" t="s">
        <v>231</v>
      </c>
      <c r="C18" t="s">
        <v>515</v>
      </c>
      <c r="D18" t="s">
        <v>94</v>
      </c>
      <c r="E18" t="s">
        <v>95</v>
      </c>
      <c r="F18" t="s">
        <v>516</v>
      </c>
      <c r="G18" t="s">
        <v>97</v>
      </c>
      <c r="H18" t="s">
        <v>327</v>
      </c>
      <c r="I18" t="s">
        <v>328</v>
      </c>
      <c r="J18" t="s">
        <v>329</v>
      </c>
      <c r="K18" t="s">
        <v>526</v>
      </c>
      <c r="M18" t="s">
        <v>648</v>
      </c>
      <c r="N18" t="s">
        <v>413</v>
      </c>
      <c r="O18" t="s">
        <v>649</v>
      </c>
      <c r="P18" t="s">
        <v>650</v>
      </c>
      <c r="Q18" t="s">
        <v>651</v>
      </c>
      <c r="R18" t="s">
        <v>652</v>
      </c>
      <c r="S18" t="s">
        <v>653</v>
      </c>
      <c r="T18" t="s">
        <v>654</v>
      </c>
    </row>
    <row r="19" spans="1:20" x14ac:dyDescent="0.35">
      <c r="A19" t="s">
        <v>514</v>
      </c>
      <c r="B19" t="s">
        <v>240</v>
      </c>
      <c r="C19" t="s">
        <v>515</v>
      </c>
      <c r="D19" t="s">
        <v>94</v>
      </c>
      <c r="E19" t="s">
        <v>95</v>
      </c>
      <c r="F19" t="s">
        <v>516</v>
      </c>
      <c r="G19" t="s">
        <v>97</v>
      </c>
      <c r="H19" t="s">
        <v>327</v>
      </c>
      <c r="I19" t="s">
        <v>328</v>
      </c>
      <c r="J19" t="s">
        <v>329</v>
      </c>
      <c r="K19" t="s">
        <v>526</v>
      </c>
      <c r="M19" t="s">
        <v>655</v>
      </c>
      <c r="N19" t="s">
        <v>656</v>
      </c>
      <c r="O19" t="s">
        <v>657</v>
      </c>
      <c r="P19" t="s">
        <v>658</v>
      </c>
      <c r="Q19" t="s">
        <v>659</v>
      </c>
      <c r="R19" t="s">
        <v>660</v>
      </c>
      <c r="S19" t="s">
        <v>661</v>
      </c>
      <c r="T19" t="s">
        <v>662</v>
      </c>
    </row>
    <row r="20" spans="1:20" x14ac:dyDescent="0.35">
      <c r="A20" t="s">
        <v>514</v>
      </c>
      <c r="B20" t="s">
        <v>186</v>
      </c>
      <c r="C20" t="s">
        <v>515</v>
      </c>
      <c r="D20" t="s">
        <v>94</v>
      </c>
      <c r="E20" t="s">
        <v>95</v>
      </c>
      <c r="F20" t="s">
        <v>516</v>
      </c>
      <c r="G20" t="s">
        <v>97</v>
      </c>
      <c r="H20" t="s">
        <v>327</v>
      </c>
      <c r="J20" t="s">
        <v>329</v>
      </c>
      <c r="K20" t="s">
        <v>526</v>
      </c>
      <c r="M20" t="s">
        <v>663</v>
      </c>
      <c r="N20" t="s">
        <v>664</v>
      </c>
      <c r="O20" t="s">
        <v>665</v>
      </c>
      <c r="P20" t="s">
        <v>666</v>
      </c>
      <c r="Q20" t="s">
        <v>667</v>
      </c>
      <c r="R20" t="s">
        <v>668</v>
      </c>
      <c r="S20" t="s">
        <v>669</v>
      </c>
      <c r="T20" t="s">
        <v>670</v>
      </c>
    </row>
    <row r="21" spans="1:20" x14ac:dyDescent="0.35">
      <c r="A21" t="s">
        <v>514</v>
      </c>
      <c r="B21" t="s">
        <v>177</v>
      </c>
      <c r="C21" t="s">
        <v>515</v>
      </c>
      <c r="D21" t="s">
        <v>94</v>
      </c>
      <c r="E21" t="s">
        <v>95</v>
      </c>
      <c r="F21" t="s">
        <v>516</v>
      </c>
      <c r="G21" t="s">
        <v>97</v>
      </c>
      <c r="H21" t="s">
        <v>327</v>
      </c>
      <c r="J21" t="s">
        <v>329</v>
      </c>
      <c r="K21" t="s">
        <v>526</v>
      </c>
      <c r="M21" t="s">
        <v>671</v>
      </c>
      <c r="N21" t="s">
        <v>672</v>
      </c>
      <c r="O21" t="s">
        <v>673</v>
      </c>
      <c r="P21" t="s">
        <v>674</v>
      </c>
      <c r="Q21" t="s">
        <v>675</v>
      </c>
      <c r="R21" t="s">
        <v>676</v>
      </c>
      <c r="S21" t="s">
        <v>677</v>
      </c>
      <c r="T21" t="s">
        <v>678</v>
      </c>
    </row>
    <row r="22" spans="1:20" x14ac:dyDescent="0.35">
      <c r="A22" t="s">
        <v>514</v>
      </c>
      <c r="B22" t="s">
        <v>303</v>
      </c>
      <c r="C22" t="s">
        <v>515</v>
      </c>
      <c r="D22" t="s">
        <v>94</v>
      </c>
      <c r="E22" t="s">
        <v>95</v>
      </c>
      <c r="F22" t="s">
        <v>516</v>
      </c>
      <c r="G22" t="s">
        <v>97</v>
      </c>
      <c r="H22" t="s">
        <v>327</v>
      </c>
      <c r="J22" t="s">
        <v>329</v>
      </c>
      <c r="K22" t="s">
        <v>526</v>
      </c>
      <c r="M22" t="s">
        <v>679</v>
      </c>
      <c r="N22" t="s">
        <v>636</v>
      </c>
      <c r="O22" t="s">
        <v>680</v>
      </c>
      <c r="P22" t="s">
        <v>681</v>
      </c>
      <c r="Q22" t="s">
        <v>682</v>
      </c>
      <c r="R22" t="s">
        <v>683</v>
      </c>
      <c r="S22" t="s">
        <v>684</v>
      </c>
      <c r="T22" t="s">
        <v>685</v>
      </c>
    </row>
    <row r="23" spans="1:20" x14ac:dyDescent="0.35">
      <c r="A23" t="s">
        <v>514</v>
      </c>
      <c r="B23" t="s">
        <v>285</v>
      </c>
      <c r="C23" t="s">
        <v>515</v>
      </c>
      <c r="D23" t="s">
        <v>94</v>
      </c>
      <c r="E23" t="s">
        <v>95</v>
      </c>
      <c r="F23" t="s">
        <v>516</v>
      </c>
      <c r="G23" t="s">
        <v>97</v>
      </c>
      <c r="H23" t="s">
        <v>327</v>
      </c>
      <c r="J23" t="s">
        <v>329</v>
      </c>
      <c r="K23" t="s">
        <v>526</v>
      </c>
      <c r="M23" t="s">
        <v>686</v>
      </c>
      <c r="N23" t="s">
        <v>687</v>
      </c>
      <c r="O23" t="s">
        <v>688</v>
      </c>
      <c r="P23" t="s">
        <v>689</v>
      </c>
      <c r="Q23" t="s">
        <v>690</v>
      </c>
      <c r="R23" t="s">
        <v>691</v>
      </c>
      <c r="S23" t="s">
        <v>692</v>
      </c>
      <c r="T23" t="s">
        <v>693</v>
      </c>
    </row>
    <row r="24" spans="1:20" x14ac:dyDescent="0.35">
      <c r="A24" t="s">
        <v>514</v>
      </c>
      <c r="B24" t="s">
        <v>258</v>
      </c>
      <c r="C24" t="s">
        <v>515</v>
      </c>
      <c r="D24" t="s">
        <v>94</v>
      </c>
      <c r="E24" t="s">
        <v>95</v>
      </c>
      <c r="F24" t="s">
        <v>516</v>
      </c>
      <c r="G24" t="s">
        <v>97</v>
      </c>
      <c r="H24" t="s">
        <v>327</v>
      </c>
      <c r="J24" t="s">
        <v>329</v>
      </c>
      <c r="K24" t="s">
        <v>526</v>
      </c>
      <c r="M24" t="s">
        <v>694</v>
      </c>
      <c r="N24" t="s">
        <v>695</v>
      </c>
      <c r="O24" t="s">
        <v>696</v>
      </c>
      <c r="P24" t="s">
        <v>697</v>
      </c>
      <c r="Q24" t="s">
        <v>698</v>
      </c>
      <c r="R24" t="s">
        <v>699</v>
      </c>
      <c r="S24" t="s">
        <v>700</v>
      </c>
      <c r="T24" t="s">
        <v>701</v>
      </c>
    </row>
    <row r="25" spans="1:20" x14ac:dyDescent="0.35">
      <c r="A25" t="s">
        <v>514</v>
      </c>
      <c r="B25" t="s">
        <v>68</v>
      </c>
      <c r="C25" t="s">
        <v>515</v>
      </c>
      <c r="D25" t="s">
        <v>94</v>
      </c>
      <c r="E25" t="s">
        <v>95</v>
      </c>
      <c r="F25" t="s">
        <v>516</v>
      </c>
      <c r="G25" t="s">
        <v>97</v>
      </c>
      <c r="H25" t="s">
        <v>327</v>
      </c>
      <c r="I25" t="s">
        <v>402</v>
      </c>
      <c r="J25" t="s">
        <v>329</v>
      </c>
      <c r="K25" t="s">
        <v>526</v>
      </c>
      <c r="M25" t="s">
        <v>702</v>
      </c>
      <c r="N25" t="s">
        <v>703</v>
      </c>
      <c r="O25" t="s">
        <v>704</v>
      </c>
      <c r="P25" t="s">
        <v>705</v>
      </c>
      <c r="Q25" t="s">
        <v>706</v>
      </c>
      <c r="R25" t="s">
        <v>707</v>
      </c>
      <c r="S25" t="s">
        <v>708</v>
      </c>
      <c r="T25" t="s">
        <v>709</v>
      </c>
    </row>
    <row r="26" spans="1:20" x14ac:dyDescent="0.35">
      <c r="A26" t="s">
        <v>514</v>
      </c>
      <c r="B26" t="s">
        <v>249</v>
      </c>
      <c r="C26" t="s">
        <v>515</v>
      </c>
      <c r="D26" t="s">
        <v>94</v>
      </c>
      <c r="E26" t="s">
        <v>95</v>
      </c>
      <c r="F26" t="s">
        <v>516</v>
      </c>
      <c r="G26" t="s">
        <v>97</v>
      </c>
      <c r="H26" t="s">
        <v>327</v>
      </c>
      <c r="I26" t="s">
        <v>328</v>
      </c>
      <c r="J26" t="s">
        <v>329</v>
      </c>
      <c r="K26" t="s">
        <v>526</v>
      </c>
      <c r="M26" t="s">
        <v>710</v>
      </c>
      <c r="N26" t="s">
        <v>711</v>
      </c>
      <c r="O26" t="s">
        <v>712</v>
      </c>
      <c r="P26" t="s">
        <v>713</v>
      </c>
      <c r="Q26" t="s">
        <v>714</v>
      </c>
      <c r="R26" t="s">
        <v>715</v>
      </c>
      <c r="S26" t="s">
        <v>716</v>
      </c>
      <c r="T26" t="s">
        <v>717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7E08D-5FDB-48D8-B0D0-2EEE7ABE5770}">
  <dimension ref="A1:S26"/>
  <sheetViews>
    <sheetView topLeftCell="B1" workbookViewId="0">
      <selection activeCell="V21" sqref="V21"/>
    </sheetView>
  </sheetViews>
  <sheetFormatPr defaultRowHeight="14.5" x14ac:dyDescent="0.35"/>
  <sheetData>
    <row r="1" spans="1:19" x14ac:dyDescent="0.35">
      <c r="A1" t="s">
        <v>85</v>
      </c>
      <c r="B1" t="s">
        <v>86</v>
      </c>
      <c r="C1" t="s">
        <v>87</v>
      </c>
      <c r="D1" t="s">
        <v>89</v>
      </c>
      <c r="E1" t="s">
        <v>90</v>
      </c>
      <c r="F1" t="s">
        <v>91</v>
      </c>
      <c r="G1" t="s">
        <v>321</v>
      </c>
      <c r="H1" t="s">
        <v>322</v>
      </c>
      <c r="I1" t="s">
        <v>323</v>
      </c>
      <c r="J1" t="s">
        <v>324</v>
      </c>
      <c r="K1" t="s">
        <v>325</v>
      </c>
      <c r="L1">
        <v>2018</v>
      </c>
      <c r="M1">
        <v>2019</v>
      </c>
      <c r="N1">
        <v>2020</v>
      </c>
      <c r="O1">
        <v>2021</v>
      </c>
      <c r="P1">
        <v>2022</v>
      </c>
      <c r="Q1">
        <v>2023</v>
      </c>
      <c r="R1">
        <v>2024</v>
      </c>
      <c r="S1">
        <v>2025</v>
      </c>
    </row>
    <row r="2" spans="1:19" x14ac:dyDescent="0.35">
      <c r="A2" t="s">
        <v>718</v>
      </c>
      <c r="B2" t="s">
        <v>151</v>
      </c>
      <c r="C2" t="s">
        <v>515</v>
      </c>
      <c r="D2" t="s">
        <v>95</v>
      </c>
      <c r="E2" t="s">
        <v>516</v>
      </c>
      <c r="F2" t="s">
        <v>97</v>
      </c>
      <c r="G2" t="s">
        <v>327</v>
      </c>
      <c r="I2" t="s">
        <v>329</v>
      </c>
      <c r="J2" t="s">
        <v>719</v>
      </c>
      <c r="K2" t="s">
        <v>339</v>
      </c>
      <c r="L2" t="s">
        <v>720</v>
      </c>
      <c r="M2" t="s">
        <v>721</v>
      </c>
      <c r="N2" t="s">
        <v>722</v>
      </c>
      <c r="O2" t="s">
        <v>723</v>
      </c>
      <c r="P2" t="s">
        <v>724</v>
      </c>
      <c r="Q2" t="s">
        <v>725</v>
      </c>
      <c r="R2" t="s">
        <v>726</v>
      </c>
      <c r="S2" t="s">
        <v>727</v>
      </c>
    </row>
    <row r="3" spans="1:19" x14ac:dyDescent="0.35">
      <c r="A3" t="s">
        <v>718</v>
      </c>
      <c r="B3" t="s">
        <v>285</v>
      </c>
      <c r="C3" t="s">
        <v>515</v>
      </c>
      <c r="D3" t="s">
        <v>95</v>
      </c>
      <c r="E3" t="s">
        <v>516</v>
      </c>
      <c r="F3" t="s">
        <v>97</v>
      </c>
      <c r="G3" t="s">
        <v>327</v>
      </c>
      <c r="I3" t="s">
        <v>329</v>
      </c>
      <c r="J3" t="s">
        <v>719</v>
      </c>
      <c r="K3" t="s">
        <v>339</v>
      </c>
      <c r="L3" t="s">
        <v>728</v>
      </c>
      <c r="M3" t="s">
        <v>729</v>
      </c>
      <c r="N3" t="s">
        <v>730</v>
      </c>
      <c r="O3" t="s">
        <v>731</v>
      </c>
      <c r="P3" t="s">
        <v>732</v>
      </c>
      <c r="Q3" t="s">
        <v>733</v>
      </c>
      <c r="R3" t="s">
        <v>734</v>
      </c>
      <c r="S3" t="s">
        <v>735</v>
      </c>
    </row>
    <row r="4" spans="1:19" x14ac:dyDescent="0.35">
      <c r="A4" t="s">
        <v>718</v>
      </c>
      <c r="B4" t="s">
        <v>294</v>
      </c>
      <c r="C4" t="s">
        <v>515</v>
      </c>
      <c r="D4" t="s">
        <v>95</v>
      </c>
      <c r="E4" t="s">
        <v>516</v>
      </c>
      <c r="F4" t="s">
        <v>97</v>
      </c>
      <c r="G4" t="s">
        <v>327</v>
      </c>
      <c r="I4" t="s">
        <v>329</v>
      </c>
      <c r="J4" t="s">
        <v>719</v>
      </c>
      <c r="K4" t="s">
        <v>339</v>
      </c>
      <c r="L4" t="s">
        <v>736</v>
      </c>
      <c r="M4" t="s">
        <v>737</v>
      </c>
      <c r="N4" t="s">
        <v>738</v>
      </c>
      <c r="O4" t="s">
        <v>739</v>
      </c>
      <c r="P4" t="s">
        <v>740</v>
      </c>
      <c r="Q4" t="s">
        <v>741</v>
      </c>
      <c r="R4" t="s">
        <v>742</v>
      </c>
      <c r="S4" t="s">
        <v>743</v>
      </c>
    </row>
    <row r="5" spans="1:19" x14ac:dyDescent="0.35">
      <c r="A5" t="s">
        <v>718</v>
      </c>
      <c r="B5" t="s">
        <v>93</v>
      </c>
      <c r="C5" t="s">
        <v>515</v>
      </c>
      <c r="D5" t="s">
        <v>95</v>
      </c>
      <c r="E5" t="s">
        <v>516</v>
      </c>
      <c r="F5" t="s">
        <v>97</v>
      </c>
      <c r="G5" t="s">
        <v>327</v>
      </c>
      <c r="I5" t="s">
        <v>329</v>
      </c>
      <c r="J5" t="s">
        <v>719</v>
      </c>
      <c r="K5" t="s">
        <v>339</v>
      </c>
      <c r="L5" t="s">
        <v>744</v>
      </c>
      <c r="M5" t="s">
        <v>745</v>
      </c>
      <c r="N5" t="s">
        <v>746</v>
      </c>
      <c r="O5" t="s">
        <v>747</v>
      </c>
      <c r="P5" t="s">
        <v>748</v>
      </c>
      <c r="Q5" t="s">
        <v>749</v>
      </c>
      <c r="R5" t="s">
        <v>750</v>
      </c>
      <c r="S5" t="s">
        <v>751</v>
      </c>
    </row>
    <row r="6" spans="1:19" x14ac:dyDescent="0.35">
      <c r="A6" t="s">
        <v>718</v>
      </c>
      <c r="B6" t="s">
        <v>267</v>
      </c>
      <c r="C6" t="s">
        <v>515</v>
      </c>
      <c r="D6" t="s">
        <v>95</v>
      </c>
      <c r="E6" t="s">
        <v>516</v>
      </c>
      <c r="F6" t="s">
        <v>97</v>
      </c>
      <c r="G6" t="s">
        <v>327</v>
      </c>
      <c r="I6" t="s">
        <v>329</v>
      </c>
      <c r="J6" t="s">
        <v>719</v>
      </c>
      <c r="K6" t="s">
        <v>339</v>
      </c>
      <c r="L6" t="s">
        <v>752</v>
      </c>
      <c r="M6" t="s">
        <v>753</v>
      </c>
      <c r="N6" t="s">
        <v>754</v>
      </c>
      <c r="O6" t="s">
        <v>755</v>
      </c>
      <c r="P6" t="s">
        <v>756</v>
      </c>
      <c r="Q6" t="s">
        <v>757</v>
      </c>
      <c r="R6" t="s">
        <v>758</v>
      </c>
      <c r="S6" t="s">
        <v>759</v>
      </c>
    </row>
    <row r="7" spans="1:19" x14ac:dyDescent="0.35">
      <c r="A7" t="s">
        <v>718</v>
      </c>
      <c r="B7" t="s">
        <v>142</v>
      </c>
      <c r="C7" t="s">
        <v>515</v>
      </c>
      <c r="D7" t="s">
        <v>95</v>
      </c>
      <c r="E7" t="s">
        <v>516</v>
      </c>
      <c r="F7" t="s">
        <v>97</v>
      </c>
      <c r="G7" t="s">
        <v>327</v>
      </c>
      <c r="I7" t="s">
        <v>329</v>
      </c>
      <c r="J7" t="s">
        <v>719</v>
      </c>
      <c r="K7" t="s">
        <v>339</v>
      </c>
      <c r="L7" t="s">
        <v>760</v>
      </c>
      <c r="M7" t="s">
        <v>761</v>
      </c>
      <c r="N7" t="s">
        <v>762</v>
      </c>
      <c r="O7" t="s">
        <v>763</v>
      </c>
      <c r="P7" t="s">
        <v>764</v>
      </c>
      <c r="Q7" t="s">
        <v>765</v>
      </c>
      <c r="R7" t="s">
        <v>766</v>
      </c>
      <c r="S7" t="s">
        <v>767</v>
      </c>
    </row>
    <row r="8" spans="1:19" x14ac:dyDescent="0.35">
      <c r="A8" s="27" t="s">
        <v>718</v>
      </c>
      <c r="B8" s="27" t="s">
        <v>106</v>
      </c>
      <c r="C8" s="27" t="s">
        <v>515</v>
      </c>
      <c r="D8" s="27" t="s">
        <v>95</v>
      </c>
      <c r="E8" s="27" t="s">
        <v>516</v>
      </c>
      <c r="F8" s="27" t="s">
        <v>97</v>
      </c>
      <c r="G8" s="27" t="s">
        <v>327</v>
      </c>
      <c r="H8" s="27"/>
      <c r="I8" s="27" t="s">
        <v>329</v>
      </c>
      <c r="J8" s="27" t="s">
        <v>768</v>
      </c>
      <c r="K8" s="27" t="s">
        <v>339</v>
      </c>
      <c r="L8" s="27" t="s">
        <v>769</v>
      </c>
      <c r="M8" s="27" t="s">
        <v>770</v>
      </c>
      <c r="N8" s="27" t="s">
        <v>771</v>
      </c>
      <c r="O8" s="27" t="s">
        <v>772</v>
      </c>
      <c r="P8" s="27" t="s">
        <v>773</v>
      </c>
      <c r="Q8" s="27" t="s">
        <v>774</v>
      </c>
      <c r="R8" s="27" t="s">
        <v>775</v>
      </c>
      <c r="S8" s="27" t="s">
        <v>776</v>
      </c>
    </row>
    <row r="9" spans="1:19" x14ac:dyDescent="0.35">
      <c r="A9" t="s">
        <v>718</v>
      </c>
      <c r="B9" t="s">
        <v>204</v>
      </c>
      <c r="C9" t="s">
        <v>515</v>
      </c>
      <c r="D9" t="s">
        <v>95</v>
      </c>
      <c r="E9" t="s">
        <v>516</v>
      </c>
      <c r="F9" t="s">
        <v>97</v>
      </c>
      <c r="G9" t="s">
        <v>327</v>
      </c>
      <c r="I9" t="s">
        <v>329</v>
      </c>
      <c r="J9" t="s">
        <v>719</v>
      </c>
      <c r="K9" t="s">
        <v>339</v>
      </c>
      <c r="L9" t="s">
        <v>777</v>
      </c>
      <c r="M9" t="s">
        <v>778</v>
      </c>
      <c r="N9" t="s">
        <v>779</v>
      </c>
      <c r="O9" t="s">
        <v>780</v>
      </c>
      <c r="P9" t="s">
        <v>781</v>
      </c>
      <c r="Q9" t="s">
        <v>782</v>
      </c>
      <c r="R9" t="s">
        <v>783</v>
      </c>
      <c r="S9" t="s">
        <v>784</v>
      </c>
    </row>
    <row r="10" spans="1:19" x14ac:dyDescent="0.35">
      <c r="A10" t="s">
        <v>718</v>
      </c>
      <c r="B10" t="s">
        <v>160</v>
      </c>
      <c r="C10" t="s">
        <v>515</v>
      </c>
      <c r="D10" t="s">
        <v>95</v>
      </c>
      <c r="E10" t="s">
        <v>516</v>
      </c>
      <c r="F10" t="s">
        <v>97</v>
      </c>
      <c r="G10" t="s">
        <v>327</v>
      </c>
      <c r="I10" t="s">
        <v>329</v>
      </c>
      <c r="J10" t="s">
        <v>719</v>
      </c>
      <c r="K10" t="s">
        <v>339</v>
      </c>
      <c r="L10" t="s">
        <v>785</v>
      </c>
      <c r="M10" t="s">
        <v>786</v>
      </c>
      <c r="N10" t="s">
        <v>787</v>
      </c>
      <c r="O10" t="s">
        <v>788</v>
      </c>
      <c r="P10" t="s">
        <v>789</v>
      </c>
      <c r="Q10" t="s">
        <v>790</v>
      </c>
      <c r="R10" t="s">
        <v>791</v>
      </c>
      <c r="S10" t="s">
        <v>792</v>
      </c>
    </row>
    <row r="11" spans="1:19" x14ac:dyDescent="0.35">
      <c r="A11" t="s">
        <v>718</v>
      </c>
      <c r="B11" t="s">
        <v>240</v>
      </c>
      <c r="C11" t="s">
        <v>515</v>
      </c>
      <c r="D11" t="s">
        <v>95</v>
      </c>
      <c r="E11" t="s">
        <v>516</v>
      </c>
      <c r="F11" t="s">
        <v>97</v>
      </c>
      <c r="G11" t="s">
        <v>327</v>
      </c>
      <c r="H11" t="s">
        <v>328</v>
      </c>
      <c r="I11" t="s">
        <v>329</v>
      </c>
      <c r="J11" t="s">
        <v>719</v>
      </c>
      <c r="K11" t="s">
        <v>339</v>
      </c>
      <c r="L11" t="s">
        <v>793</v>
      </c>
      <c r="M11" t="s">
        <v>794</v>
      </c>
      <c r="N11" t="s">
        <v>795</v>
      </c>
      <c r="O11" t="s">
        <v>796</v>
      </c>
      <c r="P11" t="s">
        <v>612</v>
      </c>
      <c r="Q11" t="s">
        <v>551</v>
      </c>
      <c r="R11" t="s">
        <v>797</v>
      </c>
      <c r="S11" t="s">
        <v>564</v>
      </c>
    </row>
    <row r="12" spans="1:19" x14ac:dyDescent="0.35">
      <c r="A12" t="s">
        <v>718</v>
      </c>
      <c r="B12" t="s">
        <v>222</v>
      </c>
      <c r="C12" t="s">
        <v>515</v>
      </c>
      <c r="D12" t="s">
        <v>95</v>
      </c>
      <c r="E12" t="s">
        <v>516</v>
      </c>
      <c r="F12" t="s">
        <v>97</v>
      </c>
      <c r="G12" t="s">
        <v>327</v>
      </c>
      <c r="I12" t="s">
        <v>329</v>
      </c>
      <c r="J12" t="s">
        <v>719</v>
      </c>
      <c r="K12" t="s">
        <v>339</v>
      </c>
      <c r="L12" t="s">
        <v>798</v>
      </c>
      <c r="M12" t="s">
        <v>799</v>
      </c>
      <c r="N12" t="s">
        <v>800</v>
      </c>
      <c r="O12" t="s">
        <v>801</v>
      </c>
      <c r="P12" t="s">
        <v>802</v>
      </c>
      <c r="Q12" t="s">
        <v>803</v>
      </c>
      <c r="R12" t="s">
        <v>804</v>
      </c>
      <c r="S12" t="s">
        <v>805</v>
      </c>
    </row>
    <row r="13" spans="1:19" x14ac:dyDescent="0.35">
      <c r="A13" t="s">
        <v>718</v>
      </c>
      <c r="B13" t="s">
        <v>312</v>
      </c>
      <c r="C13" t="s">
        <v>515</v>
      </c>
      <c r="D13" t="s">
        <v>95</v>
      </c>
      <c r="E13" t="s">
        <v>516</v>
      </c>
      <c r="F13" t="s">
        <v>97</v>
      </c>
      <c r="G13" t="s">
        <v>327</v>
      </c>
      <c r="H13" t="s">
        <v>328</v>
      </c>
      <c r="I13" t="s">
        <v>329</v>
      </c>
      <c r="J13" t="s">
        <v>719</v>
      </c>
      <c r="K13" t="s">
        <v>339</v>
      </c>
      <c r="L13" t="s">
        <v>806</v>
      </c>
      <c r="M13" t="s">
        <v>807</v>
      </c>
      <c r="N13" t="s">
        <v>808</v>
      </c>
      <c r="O13" t="s">
        <v>809</v>
      </c>
      <c r="P13" t="s">
        <v>810</v>
      </c>
      <c r="Q13" t="s">
        <v>811</v>
      </c>
      <c r="R13" t="s">
        <v>812</v>
      </c>
      <c r="S13" t="s">
        <v>813</v>
      </c>
    </row>
    <row r="14" spans="1:19" x14ac:dyDescent="0.35">
      <c r="A14" t="s">
        <v>718</v>
      </c>
      <c r="B14" t="s">
        <v>124</v>
      </c>
      <c r="C14" t="s">
        <v>515</v>
      </c>
      <c r="D14" t="s">
        <v>95</v>
      </c>
      <c r="E14" t="s">
        <v>516</v>
      </c>
      <c r="F14" t="s">
        <v>97</v>
      </c>
      <c r="G14" t="s">
        <v>327</v>
      </c>
      <c r="I14" t="s">
        <v>329</v>
      </c>
      <c r="J14" t="s">
        <v>719</v>
      </c>
      <c r="K14" t="s">
        <v>339</v>
      </c>
      <c r="L14" t="s">
        <v>814</v>
      </c>
      <c r="M14" t="s">
        <v>815</v>
      </c>
      <c r="N14" t="s">
        <v>816</v>
      </c>
      <c r="O14" t="s">
        <v>817</v>
      </c>
      <c r="P14" t="s">
        <v>818</v>
      </c>
      <c r="Q14" t="s">
        <v>819</v>
      </c>
      <c r="R14" t="s">
        <v>820</v>
      </c>
      <c r="S14" t="s">
        <v>821</v>
      </c>
    </row>
    <row r="15" spans="1:19" x14ac:dyDescent="0.35">
      <c r="A15" t="s">
        <v>718</v>
      </c>
      <c r="B15" t="s">
        <v>115</v>
      </c>
      <c r="C15" t="s">
        <v>515</v>
      </c>
      <c r="D15" t="s">
        <v>95</v>
      </c>
      <c r="E15" t="s">
        <v>516</v>
      </c>
      <c r="F15" t="s">
        <v>97</v>
      </c>
      <c r="G15" t="s">
        <v>327</v>
      </c>
      <c r="I15" t="s">
        <v>329</v>
      </c>
      <c r="J15" t="s">
        <v>719</v>
      </c>
      <c r="K15" t="s">
        <v>339</v>
      </c>
      <c r="L15" t="s">
        <v>822</v>
      </c>
      <c r="M15" t="s">
        <v>823</v>
      </c>
      <c r="N15" t="s">
        <v>824</v>
      </c>
      <c r="O15" t="s">
        <v>825</v>
      </c>
      <c r="P15" t="s">
        <v>826</v>
      </c>
      <c r="Q15" t="s">
        <v>827</v>
      </c>
      <c r="R15" t="s">
        <v>828</v>
      </c>
      <c r="S15" t="s">
        <v>829</v>
      </c>
    </row>
    <row r="16" spans="1:19" x14ac:dyDescent="0.35">
      <c r="A16" t="s">
        <v>718</v>
      </c>
      <c r="B16" t="s">
        <v>133</v>
      </c>
      <c r="C16" t="s">
        <v>515</v>
      </c>
      <c r="D16" t="s">
        <v>95</v>
      </c>
      <c r="E16" t="s">
        <v>516</v>
      </c>
      <c r="F16" t="s">
        <v>97</v>
      </c>
      <c r="G16" t="s">
        <v>327</v>
      </c>
      <c r="H16" t="s">
        <v>328</v>
      </c>
      <c r="I16" t="s">
        <v>329</v>
      </c>
      <c r="J16" t="s">
        <v>768</v>
      </c>
      <c r="K16" t="s">
        <v>339</v>
      </c>
      <c r="L16" t="s">
        <v>830</v>
      </c>
      <c r="M16" t="s">
        <v>831</v>
      </c>
      <c r="N16" t="s">
        <v>832</v>
      </c>
      <c r="O16" t="s">
        <v>833</v>
      </c>
      <c r="P16" t="s">
        <v>834</v>
      </c>
      <c r="Q16" t="s">
        <v>551</v>
      </c>
      <c r="R16" t="s">
        <v>835</v>
      </c>
      <c r="S16" t="s">
        <v>596</v>
      </c>
    </row>
    <row r="17" spans="1:19" x14ac:dyDescent="0.35">
      <c r="A17" t="s">
        <v>718</v>
      </c>
      <c r="B17" t="s">
        <v>249</v>
      </c>
      <c r="C17" t="s">
        <v>515</v>
      </c>
      <c r="D17" t="s">
        <v>95</v>
      </c>
      <c r="E17" t="s">
        <v>516</v>
      </c>
      <c r="F17" t="s">
        <v>97</v>
      </c>
      <c r="G17" t="s">
        <v>327</v>
      </c>
      <c r="I17" t="s">
        <v>329</v>
      </c>
      <c r="J17" t="s">
        <v>719</v>
      </c>
      <c r="K17" t="s">
        <v>339</v>
      </c>
      <c r="L17" t="s">
        <v>836</v>
      </c>
      <c r="M17" t="s">
        <v>837</v>
      </c>
      <c r="N17" t="s">
        <v>838</v>
      </c>
      <c r="O17" t="s">
        <v>839</v>
      </c>
      <c r="P17" t="s">
        <v>840</v>
      </c>
      <c r="Q17" t="s">
        <v>841</v>
      </c>
      <c r="R17" t="s">
        <v>842</v>
      </c>
      <c r="S17" t="s">
        <v>542</v>
      </c>
    </row>
    <row r="18" spans="1:19" x14ac:dyDescent="0.35">
      <c r="A18" t="s">
        <v>718</v>
      </c>
      <c r="B18" t="s">
        <v>177</v>
      </c>
      <c r="C18" t="s">
        <v>515</v>
      </c>
      <c r="D18" t="s">
        <v>95</v>
      </c>
      <c r="E18" t="s">
        <v>516</v>
      </c>
      <c r="F18" t="s">
        <v>97</v>
      </c>
      <c r="G18" t="s">
        <v>327</v>
      </c>
      <c r="I18" t="s">
        <v>329</v>
      </c>
      <c r="J18" t="s">
        <v>719</v>
      </c>
      <c r="K18" t="s">
        <v>339</v>
      </c>
      <c r="L18" t="s">
        <v>843</v>
      </c>
      <c r="M18" t="s">
        <v>844</v>
      </c>
      <c r="N18" t="s">
        <v>845</v>
      </c>
      <c r="O18" t="s">
        <v>601</v>
      </c>
      <c r="P18" t="s">
        <v>846</v>
      </c>
      <c r="Q18" t="s">
        <v>847</v>
      </c>
      <c r="R18" t="s">
        <v>848</v>
      </c>
      <c r="S18" t="s">
        <v>849</v>
      </c>
    </row>
    <row r="19" spans="1:19" x14ac:dyDescent="0.35">
      <c r="A19" t="s">
        <v>718</v>
      </c>
      <c r="B19" t="s">
        <v>213</v>
      </c>
      <c r="C19" t="s">
        <v>515</v>
      </c>
      <c r="D19" t="s">
        <v>95</v>
      </c>
      <c r="E19" t="s">
        <v>516</v>
      </c>
      <c r="F19" t="s">
        <v>97</v>
      </c>
      <c r="G19" t="s">
        <v>327</v>
      </c>
      <c r="H19" t="s">
        <v>328</v>
      </c>
      <c r="I19" t="s">
        <v>329</v>
      </c>
      <c r="J19" t="s">
        <v>719</v>
      </c>
      <c r="K19" t="s">
        <v>339</v>
      </c>
      <c r="L19" t="s">
        <v>850</v>
      </c>
      <c r="M19" t="s">
        <v>851</v>
      </c>
      <c r="N19" t="s">
        <v>852</v>
      </c>
      <c r="O19" t="s">
        <v>853</v>
      </c>
      <c r="P19" t="s">
        <v>807</v>
      </c>
      <c r="Q19" t="s">
        <v>854</v>
      </c>
      <c r="R19" t="s">
        <v>855</v>
      </c>
      <c r="S19" t="s">
        <v>856</v>
      </c>
    </row>
    <row r="20" spans="1:19" x14ac:dyDescent="0.35">
      <c r="A20" t="s">
        <v>718</v>
      </c>
      <c r="B20" t="s">
        <v>195</v>
      </c>
      <c r="C20" t="s">
        <v>515</v>
      </c>
      <c r="D20" t="s">
        <v>95</v>
      </c>
      <c r="E20" t="s">
        <v>516</v>
      </c>
      <c r="F20" t="s">
        <v>97</v>
      </c>
      <c r="G20" t="s">
        <v>327</v>
      </c>
      <c r="I20" t="s">
        <v>329</v>
      </c>
      <c r="J20" t="s">
        <v>719</v>
      </c>
      <c r="K20" t="s">
        <v>339</v>
      </c>
      <c r="L20" t="s">
        <v>857</v>
      </c>
      <c r="M20" t="s">
        <v>858</v>
      </c>
      <c r="N20" t="s">
        <v>859</v>
      </c>
      <c r="O20" t="s">
        <v>860</v>
      </c>
      <c r="P20" t="s">
        <v>861</v>
      </c>
      <c r="Q20" t="s">
        <v>862</v>
      </c>
      <c r="R20" t="s">
        <v>863</v>
      </c>
      <c r="S20" t="s">
        <v>864</v>
      </c>
    </row>
    <row r="21" spans="1:19" x14ac:dyDescent="0.35">
      <c r="A21" t="s">
        <v>718</v>
      </c>
      <c r="B21" t="s">
        <v>276</v>
      </c>
      <c r="C21" t="s">
        <v>515</v>
      </c>
      <c r="D21" t="s">
        <v>95</v>
      </c>
      <c r="E21" t="s">
        <v>516</v>
      </c>
      <c r="F21" t="s">
        <v>97</v>
      </c>
      <c r="G21" t="s">
        <v>327</v>
      </c>
      <c r="I21" t="s">
        <v>329</v>
      </c>
      <c r="J21" t="s">
        <v>719</v>
      </c>
      <c r="K21" t="s">
        <v>339</v>
      </c>
      <c r="L21" t="s">
        <v>865</v>
      </c>
      <c r="M21" t="s">
        <v>866</v>
      </c>
      <c r="N21" t="s">
        <v>867</v>
      </c>
      <c r="O21" t="s">
        <v>868</v>
      </c>
      <c r="P21" t="s">
        <v>869</v>
      </c>
      <c r="Q21" t="s">
        <v>870</v>
      </c>
      <c r="R21" t="s">
        <v>871</v>
      </c>
      <c r="S21" t="s">
        <v>872</v>
      </c>
    </row>
    <row r="22" spans="1:19" x14ac:dyDescent="0.35">
      <c r="A22" t="s">
        <v>718</v>
      </c>
      <c r="B22" t="s">
        <v>303</v>
      </c>
      <c r="C22" t="s">
        <v>515</v>
      </c>
      <c r="D22" t="s">
        <v>95</v>
      </c>
      <c r="E22" t="s">
        <v>516</v>
      </c>
      <c r="F22" t="s">
        <v>97</v>
      </c>
      <c r="G22" t="s">
        <v>327</v>
      </c>
      <c r="I22" t="s">
        <v>329</v>
      </c>
      <c r="J22" t="s">
        <v>719</v>
      </c>
      <c r="K22" t="s">
        <v>339</v>
      </c>
      <c r="L22" t="s">
        <v>873</v>
      </c>
      <c r="M22" t="s">
        <v>874</v>
      </c>
      <c r="N22" t="s">
        <v>875</v>
      </c>
      <c r="O22" t="s">
        <v>876</v>
      </c>
      <c r="P22" t="s">
        <v>877</v>
      </c>
      <c r="Q22" t="s">
        <v>878</v>
      </c>
      <c r="R22" t="s">
        <v>879</v>
      </c>
      <c r="S22" t="s">
        <v>880</v>
      </c>
    </row>
    <row r="23" spans="1:19" x14ac:dyDescent="0.35">
      <c r="A23" t="s">
        <v>718</v>
      </c>
      <c r="B23" t="s">
        <v>258</v>
      </c>
      <c r="C23" t="s">
        <v>515</v>
      </c>
      <c r="D23" t="s">
        <v>95</v>
      </c>
      <c r="E23" t="s">
        <v>516</v>
      </c>
      <c r="F23" t="s">
        <v>97</v>
      </c>
      <c r="G23" t="s">
        <v>327</v>
      </c>
      <c r="I23" t="s">
        <v>329</v>
      </c>
      <c r="J23" t="s">
        <v>719</v>
      </c>
      <c r="K23" t="s">
        <v>339</v>
      </c>
      <c r="L23" t="s">
        <v>881</v>
      </c>
      <c r="M23" t="s">
        <v>882</v>
      </c>
      <c r="N23" t="s">
        <v>883</v>
      </c>
      <c r="O23" t="s">
        <v>884</v>
      </c>
      <c r="P23" t="s">
        <v>885</v>
      </c>
      <c r="Q23" t="s">
        <v>886</v>
      </c>
      <c r="R23" t="s">
        <v>887</v>
      </c>
      <c r="S23" t="s">
        <v>888</v>
      </c>
    </row>
    <row r="24" spans="1:19" x14ac:dyDescent="0.35">
      <c r="A24" t="s">
        <v>718</v>
      </c>
      <c r="B24" t="s">
        <v>68</v>
      </c>
      <c r="C24" t="s">
        <v>515</v>
      </c>
      <c r="D24" t="s">
        <v>95</v>
      </c>
      <c r="E24" t="s">
        <v>516</v>
      </c>
      <c r="F24" t="s">
        <v>97</v>
      </c>
      <c r="G24" t="s">
        <v>327</v>
      </c>
      <c r="H24" t="s">
        <v>328</v>
      </c>
      <c r="I24" t="s">
        <v>329</v>
      </c>
      <c r="J24" t="s">
        <v>719</v>
      </c>
      <c r="K24" t="s">
        <v>339</v>
      </c>
      <c r="L24" t="s">
        <v>889</v>
      </c>
      <c r="M24" t="s">
        <v>890</v>
      </c>
      <c r="N24" t="s">
        <v>891</v>
      </c>
      <c r="O24" t="s">
        <v>892</v>
      </c>
      <c r="P24" t="s">
        <v>893</v>
      </c>
      <c r="Q24" t="s">
        <v>894</v>
      </c>
      <c r="R24" t="s">
        <v>744</v>
      </c>
      <c r="S24" t="s">
        <v>895</v>
      </c>
    </row>
    <row r="25" spans="1:19" x14ac:dyDescent="0.35">
      <c r="A25" t="s">
        <v>718</v>
      </c>
      <c r="B25" t="s">
        <v>186</v>
      </c>
      <c r="C25" t="s">
        <v>515</v>
      </c>
      <c r="D25" t="s">
        <v>95</v>
      </c>
      <c r="E25" t="s">
        <v>516</v>
      </c>
      <c r="F25" t="s">
        <v>97</v>
      </c>
      <c r="G25" t="s">
        <v>327</v>
      </c>
      <c r="I25" t="s">
        <v>329</v>
      </c>
      <c r="J25" t="s">
        <v>719</v>
      </c>
      <c r="K25" t="s">
        <v>339</v>
      </c>
      <c r="L25" t="s">
        <v>896</v>
      </c>
      <c r="M25" t="s">
        <v>897</v>
      </c>
      <c r="N25" t="s">
        <v>898</v>
      </c>
      <c r="O25" t="s">
        <v>899</v>
      </c>
      <c r="P25" t="s">
        <v>900</v>
      </c>
      <c r="Q25" t="s">
        <v>901</v>
      </c>
      <c r="R25" t="s">
        <v>539</v>
      </c>
      <c r="S25" t="s">
        <v>902</v>
      </c>
    </row>
    <row r="26" spans="1:19" x14ac:dyDescent="0.35">
      <c r="A26" t="s">
        <v>718</v>
      </c>
      <c r="B26" t="s">
        <v>231</v>
      </c>
      <c r="C26" t="s">
        <v>515</v>
      </c>
      <c r="D26" t="s">
        <v>95</v>
      </c>
      <c r="E26" t="s">
        <v>516</v>
      </c>
      <c r="F26" t="s">
        <v>97</v>
      </c>
      <c r="G26" t="s">
        <v>327</v>
      </c>
      <c r="I26" t="s">
        <v>329</v>
      </c>
      <c r="J26" t="s">
        <v>719</v>
      </c>
      <c r="K26" t="s">
        <v>339</v>
      </c>
      <c r="L26" t="s">
        <v>903</v>
      </c>
      <c r="M26" t="s">
        <v>904</v>
      </c>
      <c r="N26" t="s">
        <v>796</v>
      </c>
      <c r="O26" t="s">
        <v>905</v>
      </c>
      <c r="P26" t="s">
        <v>906</v>
      </c>
      <c r="Q26" t="s">
        <v>907</v>
      </c>
      <c r="R26" t="s">
        <v>908</v>
      </c>
      <c r="S26" t="s">
        <v>909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Rawdata_Index </vt:lpstr>
      <vt:lpstr>Rawdata m2</vt:lpstr>
      <vt:lpstr>Index_analisys</vt:lpstr>
      <vt:lpstr>m_2analisys</vt:lpstr>
      <vt:lpstr>Лист2</vt:lpstr>
      <vt:lpstr>Rawdata_flat</vt:lpstr>
      <vt:lpstr>Contracts analisys</vt:lpstr>
      <vt:lpstr>Lun_price</vt:lpstr>
      <vt:lpstr>Raw data _m2region begin</vt:lpstr>
      <vt:lpstr>Raw data _m2region expl</vt:lpstr>
      <vt:lpstr>Rawdata _flat expl</vt:lpstr>
      <vt:lpstr>Rawdata _flat begin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Valentina Mamenko</dc:creator>
  <cp:lastModifiedBy>Valentina Mamenko</cp:lastModifiedBy>
  <dcterms:created xsi:type="dcterms:W3CDTF">2026-04-22T19:40:24Z</dcterms:created>
  <dcterms:modified xsi:type="dcterms:W3CDTF">2026-04-24T20:05:56Z</dcterms:modified>
</cp:coreProperties>
</file>